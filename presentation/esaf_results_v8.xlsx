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Ticket impact" sheetId="2" state="visible" r:id="rId4"/>
    <sheet name="Import case" sheetId="3" state="visible" r:id="rId5"/>
    <sheet name="Cost breakdown" sheetId="4" state="visible" r:id="rId6"/>
    <sheet name="Column definitions" sheetId="5" state="visible" r:id="rId7"/>
  </sheets>
  <definedNames>
    <definedName function="false" hidden="true" localSheetId="3" name="_xlnm._FilterDatabase" vbProcedure="false">'Cost breakdown'!$A$4:$Z$132</definedName>
    <definedName function="false" hidden="true" localSheetId="2" name="_xlnm._FilterDatabase" vbProcedure="false">'Import case'!$A$15:$S$189</definedName>
    <definedName function="false" hidden="true" localSheetId="0" name="_xlnm._FilterDatabase" vbProcedure="false">Results!$A$5:$V$37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<sst xmlns="http://schemas.openxmlformats.org/spreadsheetml/2006/main" count="2131" uniqueCount="372">
  <si>
    <t xml:space="preserve">Delivered cost of e-SAF at the national hub airport — model v8 results</t>
  </si>
  <si>
    <t xml:space="preserve">One plant per country, cheapest feasible site; all monetary values in real USD-2024 unless marked EUR. See 'Column definitions' sheet before reading.</t>
  </si>
  <si>
    <t xml:space="preserve">USD → EUR conversion (2024 ECB annual average):</t>
  </si>
  <si>
    <t xml:space="preserve">editable input cell (blue on yellow); EUR columns recalculate from it</t>
  </si>
  <si>
    <t xml:space="preserve">Country</t>
  </si>
  <si>
    <t xml:space="preserve">Country name</t>
  </si>
  <si>
    <t xml:space="preserve">Hub airport</t>
  </si>
  <si>
    <t xml:space="preserve">IATA</t>
  </si>
  <si>
    <t xml:space="preserve">Hub fuel 2024 (kt)</t>
  </si>
  <si>
    <t xml:space="preserve">e-SAF share 2030</t>
  </si>
  <si>
    <t xml:space="preserve">Plant size 2030 (kt/y)</t>
  </si>
  <si>
    <t xml:space="preserve">Cost 2030 (USD/t)</t>
  </si>
  <si>
    <t xml:space="preserve">Cost 2030 (EUR/t)</t>
  </si>
  <si>
    <t xml:space="preserve">Strategy 2030</t>
  </si>
  <si>
    <t xml:space="preserve">Carbon 2030</t>
  </si>
  <si>
    <t xml:space="preserve">Bio-CO2 price 2030 (USD/t CO2)</t>
  </si>
  <si>
    <t xml:space="preserve">e-SAF share 2050</t>
  </si>
  <si>
    <t xml:space="preserve">Plant size 2050 (kt/y)</t>
  </si>
  <si>
    <t xml:space="preserve">Cost 2050 @2030 tech (USD/t)</t>
  </si>
  <si>
    <t xml:space="preserve">Cost 2050 @2050 tech (USD/t)</t>
  </si>
  <si>
    <t xml:space="preserve">Cost 2050 @2050 tech (EUR/t)</t>
  </si>
  <si>
    <t xml:space="preserve">Strategy 2050</t>
  </si>
  <si>
    <t xml:space="preserve">Carbon 2050</t>
  </si>
  <si>
    <t xml:space="preserve">Reference 740 kt (USD/t)</t>
  </si>
  <si>
    <t xml:space="preserve">WACC (real)</t>
  </si>
  <si>
    <t xml:space="preserve">H2 storage geology</t>
  </si>
  <si>
    <t xml:space="preserve">ESP</t>
  </si>
  <si>
    <t xml:space="preserve">Spain</t>
  </si>
  <si>
    <t xml:space="preserve">Adolfo Suarez Madrid-Barajas Airport</t>
  </si>
  <si>
    <t xml:space="preserve">MAD</t>
  </si>
  <si>
    <t xml:space="preserve">steady + H2 cavern</t>
  </si>
  <si>
    <t xml:space="preserve">biogenic (purchased)</t>
  </si>
  <si>
    <t xml:space="preserve">flexible + fuel tanks</t>
  </si>
  <si>
    <t xml:space="preserve">DAC (on-site)</t>
  </si>
  <si>
    <t xml:space="preserve">salt</t>
  </si>
  <si>
    <t xml:space="preserve">FRA</t>
  </si>
  <si>
    <t xml:space="preserve">France</t>
  </si>
  <si>
    <t xml:space="preserve">Paris Charles de Gaulle Airport</t>
  </si>
  <si>
    <t xml:space="preserve">CDG</t>
  </si>
  <si>
    <t xml:space="preserve">PRT</t>
  </si>
  <si>
    <t xml:space="preserve">Portugal</t>
  </si>
  <si>
    <t xml:space="preserve">Lisbon Airport</t>
  </si>
  <si>
    <t xml:space="preserve">LIS</t>
  </si>
  <si>
    <t xml:space="preserve">DEU</t>
  </si>
  <si>
    <t xml:space="preserve">Germany</t>
  </si>
  <si>
    <t xml:space="preserve">Frankfurt Airport</t>
  </si>
  <si>
    <t xml:space="preserve">DNK</t>
  </si>
  <si>
    <t xml:space="preserve">Denmark</t>
  </si>
  <si>
    <t xml:space="preserve">Copenhagen Airport</t>
  </si>
  <si>
    <t xml:space="preserve">CPH</t>
  </si>
  <si>
    <t xml:space="preserve">ITA</t>
  </si>
  <si>
    <t xml:space="preserve">Italy</t>
  </si>
  <si>
    <t xml:space="preserve">Rome Fiumicino Airport</t>
  </si>
  <si>
    <t xml:space="preserve">FCO</t>
  </si>
  <si>
    <t xml:space="preserve">rock</t>
  </si>
  <si>
    <t xml:space="preserve">CHE</t>
  </si>
  <si>
    <t xml:space="preserve">Switzerland</t>
  </si>
  <si>
    <t xml:space="preserve">Zurich Airport</t>
  </si>
  <si>
    <t xml:space="preserve">ZRH</t>
  </si>
  <si>
    <t xml:space="preserve">GRC</t>
  </si>
  <si>
    <t xml:space="preserve">Greece</t>
  </si>
  <si>
    <t xml:space="preserve">Athens International Airport</t>
  </si>
  <si>
    <t xml:space="preserve">ATH</t>
  </si>
  <si>
    <t xml:space="preserve">FIN</t>
  </si>
  <si>
    <t xml:space="preserve">Finland</t>
  </si>
  <si>
    <t xml:space="preserve">Helsinki Airport</t>
  </si>
  <si>
    <t xml:space="preserve">HEL</t>
  </si>
  <si>
    <t xml:space="preserve">NLD</t>
  </si>
  <si>
    <t xml:space="preserve">Netherlands</t>
  </si>
  <si>
    <t xml:space="preserve">Amsterdam Schiphol Airport</t>
  </si>
  <si>
    <t xml:space="preserve">AMS</t>
  </si>
  <si>
    <t xml:space="preserve">BEL</t>
  </si>
  <si>
    <t xml:space="preserve">Belgium</t>
  </si>
  <si>
    <t xml:space="preserve">Brussels Airport</t>
  </si>
  <si>
    <t xml:space="preserve">BRU</t>
  </si>
  <si>
    <t xml:space="preserve">GBR</t>
  </si>
  <si>
    <t xml:space="preserve">United Kingdom</t>
  </si>
  <si>
    <t xml:space="preserve">Heathrow Airport</t>
  </si>
  <si>
    <t xml:space="preserve">LHR</t>
  </si>
  <si>
    <t xml:space="preserve">POL</t>
  </si>
  <si>
    <t xml:space="preserve">Poland</t>
  </si>
  <si>
    <t xml:space="preserve">Warsaw Chopin Airport</t>
  </si>
  <si>
    <t xml:space="preserve">WAW</t>
  </si>
  <si>
    <t xml:space="preserve">LUX</t>
  </si>
  <si>
    <t xml:space="preserve">Luxembourg</t>
  </si>
  <si>
    <t xml:space="preserve">Luxembourg Airport</t>
  </si>
  <si>
    <t xml:space="preserve">AUT</t>
  </si>
  <si>
    <t xml:space="preserve">Austria</t>
  </si>
  <si>
    <t xml:space="preserve">Vienna International Airport</t>
  </si>
  <si>
    <t xml:space="preserve">VIE</t>
  </si>
  <si>
    <t xml:space="preserve">SWE</t>
  </si>
  <si>
    <t xml:space="preserve">Sweden</t>
  </si>
  <si>
    <t xml:space="preserve">Stockholm Arlanda Airport</t>
  </si>
  <si>
    <t xml:space="preserve">ARN</t>
  </si>
  <si>
    <t xml:space="preserve">IRL</t>
  </si>
  <si>
    <t xml:space="preserve">Ireland</t>
  </si>
  <si>
    <t xml:space="preserve">Dublin Airport</t>
  </si>
  <si>
    <t xml:space="preserve">DUB</t>
  </si>
  <si>
    <t xml:space="preserve">CYP</t>
  </si>
  <si>
    <t xml:space="preserve">Cyprus</t>
  </si>
  <si>
    <t xml:space="preserve">Larnaca International Airport</t>
  </si>
  <si>
    <t xml:space="preserve">LCA</t>
  </si>
  <si>
    <t xml:space="preserve">HUN</t>
  </si>
  <si>
    <t xml:space="preserve">Hungary</t>
  </si>
  <si>
    <t xml:space="preserve">Budapest Ferenc Liszt International Airport</t>
  </si>
  <si>
    <t xml:space="preserve">BUD</t>
  </si>
  <si>
    <t xml:space="preserve">MLT</t>
  </si>
  <si>
    <t xml:space="preserve">Malta</t>
  </si>
  <si>
    <t xml:space="preserve">Malta International Airport</t>
  </si>
  <si>
    <t xml:space="preserve">MLA</t>
  </si>
  <si>
    <t xml:space="preserve">CZE</t>
  </si>
  <si>
    <t xml:space="preserve">Czechia</t>
  </si>
  <si>
    <t xml:space="preserve">Vaclav Havel Airport Prague</t>
  </si>
  <si>
    <t xml:space="preserve">PRG</t>
  </si>
  <si>
    <t xml:space="preserve">ROU</t>
  </si>
  <si>
    <t xml:space="preserve">Romania</t>
  </si>
  <si>
    <t xml:space="preserve">Henri Coanda Bucharest Airport</t>
  </si>
  <si>
    <t xml:space="preserve">OTP</t>
  </si>
  <si>
    <t xml:space="preserve">BGR</t>
  </si>
  <si>
    <t xml:space="preserve">Bulgaria</t>
  </si>
  <si>
    <t xml:space="preserve">Sofia Airport</t>
  </si>
  <si>
    <t xml:space="preserve">SOF</t>
  </si>
  <si>
    <t xml:space="preserve">HRV</t>
  </si>
  <si>
    <t xml:space="preserve">Croatia</t>
  </si>
  <si>
    <t xml:space="preserve">Zagreb Franjo Tudman Airport</t>
  </si>
  <si>
    <t xml:space="preserve">ZAG</t>
  </si>
  <si>
    <t xml:space="preserve">EST</t>
  </si>
  <si>
    <t xml:space="preserve">Estonia</t>
  </si>
  <si>
    <t xml:space="preserve">Tallinn Airport</t>
  </si>
  <si>
    <t xml:space="preserve">TLL</t>
  </si>
  <si>
    <t xml:space="preserve">SVK</t>
  </si>
  <si>
    <t xml:space="preserve">Slovakia</t>
  </si>
  <si>
    <t xml:space="preserve">Bratislava Airport</t>
  </si>
  <si>
    <t xml:space="preserve">BTS</t>
  </si>
  <si>
    <t xml:space="preserve">LVA</t>
  </si>
  <si>
    <t xml:space="preserve">Latvia</t>
  </si>
  <si>
    <t xml:space="preserve">Riga Airport</t>
  </si>
  <si>
    <t xml:space="preserve">RIX</t>
  </si>
  <si>
    <t xml:space="preserve">LTU</t>
  </si>
  <si>
    <t xml:space="preserve">Lithuania</t>
  </si>
  <si>
    <t xml:space="preserve">Vilnius Airport</t>
  </si>
  <si>
    <t xml:space="preserve">VNO</t>
  </si>
  <si>
    <t xml:space="preserve">SVN</t>
  </si>
  <si>
    <t xml:space="preserve">Slovenia</t>
  </si>
  <si>
    <t xml:space="preserve">Ljubljana Airport</t>
  </si>
  <si>
    <t xml:space="preserve">LJU</t>
  </si>
  <si>
    <t xml:space="preserve">SAU</t>
  </si>
  <si>
    <t xml:space="preserve">Saudi Arabia</t>
  </si>
  <si>
    <t xml:space="preserve">King Khalid International Airport</t>
  </si>
  <si>
    <t xml:space="preserve">RUH</t>
  </si>
  <si>
    <t xml:space="preserve">no mandate — export case</t>
  </si>
  <si>
    <t xml:space="preserve">ARE</t>
  </si>
  <si>
    <t xml:space="preserve">United Arab Emirates</t>
  </si>
  <si>
    <t xml:space="preserve">Dubai International Airport</t>
  </si>
  <si>
    <t xml:space="preserve">DXB</t>
  </si>
  <si>
    <t xml:space="preserve">MAR</t>
  </si>
  <si>
    <t xml:space="preserve">Morocco</t>
  </si>
  <si>
    <t xml:space="preserve">Mohammed V International Airport</t>
  </si>
  <si>
    <t xml:space="preserve">CMN</t>
  </si>
  <si>
    <t xml:space="preserve">Reference cases (amber rows): Saudi Arabia, UAE, Morocco carry no EU/UK mandate; shown at the fixed 740 kt/y reference size pending the export/import analysis. Sorted by 2050 cost at 2050 technology (EU/UK/CH), cheapest first.</t>
  </si>
  <si>
    <t xml:space="preserve">What the e-SAF mandate adds to an airline ticket — EU average, 2030 and 2050</t>
  </si>
  <si>
    <t xml:space="preserve">Extra cost per passenger = synthetic share x (e-SAF delivered cost - fossil jet price) x fuel burn per passenger x cabin factor; ticket increase (%) = extra cost / representative fare. Airline passes the full cost to the consumer (linear pass-through).</t>
  </si>
  <si>
    <t xml:space="preserve">Counterfactual: the same flight burning 100% fossil jet at the price below. Bio-SAF obligations exist in both worlds and cancel out - only the synthetic (e-SAF) share is priced here. Blue on yellow = editable inputs; everything recalculates.</t>
  </si>
  <si>
    <t xml:space="preserve">Shared inputs</t>
  </si>
  <si>
    <t xml:space="preserve">Fossil jet fuel price (USD-2024 / t)</t>
  </si>
  <si>
    <t xml:space="preserve">IATA Global Outlook Dec-2025: 2024 average 99 USD/bbl x 7.88 bbl/t; held flat in real terms (long-run range ~650-950).</t>
  </si>
  <si>
    <t xml:space="preserve">Fuel share of airline operating cost</t>
  </si>
  <si>
    <t xml:space="preserve">IATA, 2024 actual (28.8%; forecast ~26-27% for 2025-26).</t>
  </si>
  <si>
    <t xml:space="preserve">e-SAF share of all fuel, 2030</t>
  </si>
  <si>
    <t xml:space="preserve">ReFuelEU Annex I synthetic sub-mandate, average 2030-31. UK PtL sub-obligation is 0.5% - scale 2030 results by ~0.42 for UK operators.</t>
  </si>
  <si>
    <t xml:space="preserve">e-SAF share of all fuel, 2050</t>
  </si>
  <si>
    <t xml:space="preserve">ReFuelEU Annex I, 2050. UK: ~3.5% from 2040 held flat - scale 2050 results by ~0.10 for UK operators.</t>
  </si>
  <si>
    <t xml:space="preserve">Domestic e-SAF cost 2030 (USD / t)</t>
  </si>
  <si>
    <t xml:space="preserve">This model: EU-27 demand-weighted mean across national hubs, 2030 mandate plants at 2030 technology (p10-p90: 5,898-8,047).</t>
  </si>
  <si>
    <t xml:space="preserve">Domestic e-SAF cost 2050 (USD / t)</t>
  </si>
  <si>
    <t xml:space="preserve">This model: 2050 mandate plants at 2050 technology (p10-p90: 2,821-3,603).</t>
  </si>
  <si>
    <t xml:space="preserve">Imported e-SAF cost 2030 (USD / t)</t>
  </si>
  <si>
    <t xml:space="preserve">Import case sheet: demand-weighted best-exporter delivered cost, exporters sized to 50% of EU demand (p10-p90: 7,051-7,106).</t>
  </si>
  <si>
    <t xml:space="preserve">Imported e-SAF cost 2050 (USD / t)</t>
  </si>
  <si>
    <t xml:space="preserve">Import case sheet (p10-p90: 3,020-3,069).</t>
  </si>
  <si>
    <t xml:space="preserve">Import share of e-SAF supply</t>
  </si>
  <si>
    <t xml:space="preserve">REPowerEU-style balance: half the mandate met by imports (cf. 10 Mt domestic + 10 Mt imported renewable H2 by 2030).</t>
  </si>
  <si>
    <t xml:space="preserve">e-SAF cost used, 2030 (USD / t)</t>
  </si>
  <si>
    <t xml:space="preserve">blend feeding every calculation below; edit the import share in B14</t>
  </si>
  <si>
    <t xml:space="preserve">e-SAF cost used, 2050 (USD / t)</t>
  </si>
  <si>
    <t xml:space="preserve">EU ETS allowance price 2030 (USD / t CO2)</t>
  </si>
  <si>
    <t xml:space="preserve">~EUR 130 x 1.0824 USD/EUR; analyst forecasts cluster EUR 126-149 by 2030 (BNEF and market surveys).</t>
  </si>
  <si>
    <t xml:space="preserve">EU ETS allowance price 2050 (USD / t CO2)</t>
  </si>
  <si>
    <t xml:space="preserve">~EUR 250; long-run projections EUR 200-400. Used only in the net-of-ETS columns.</t>
  </si>
  <si>
    <t xml:space="preserve">Fossil jet combustion CO2 (t CO2 / t fuel)</t>
  </si>
  <si>
    <t xml:space="preserve">Standard jet A-1 emission factor.</t>
  </si>
  <si>
    <t xml:space="preserve">Fleet fuel-burn factor 2030 (vs 2024)</t>
  </si>
  <si>
    <t xml:space="preserve">1.00 = conservative (no efficiency gain). ~1%/y fleet renewal would give ~0.94.</t>
  </si>
  <si>
    <t xml:space="preserve">Fleet fuel-burn factor 2050 (vs 2024)</t>
  </si>
  <si>
    <t xml:space="preserve">~0.77 with 1%/y efficiency to 2050; scales the per-passenger premium down proportionally.</t>
  </si>
  <si>
    <t xml:space="preserve">e-SAF premium over fossil jet, 2030 (USD / t)</t>
  </si>
  <si>
    <t xml:space="preserve">e-SAF premium over fossil jet, 2050 (USD / t)</t>
  </si>
  <si>
    <t xml:space="preserve">2030 premium net of EU ETS saved (USD / t)</t>
  </si>
  <si>
    <t xml:space="preserve">displaced fossil fuel would have needed allowances (intra-EEA departures only)</t>
  </si>
  <si>
    <t xml:space="preserve">2050 premium net of EU ETS saved (USD / t)</t>
  </si>
  <si>
    <t xml:space="preserve">Per-segment result (one-way trip)</t>
  </si>
  <si>
    <t xml:space="preserve">Route / cabin</t>
  </si>
  <si>
    <t xml:space="preserve">Sector (km)</t>
  </si>
  <si>
    <t xml:space="preserve">Fuel kg / economy pax</t>
  </si>
  <si>
    <t xml:space="preserve">Cabin fuel factor</t>
  </si>
  <si>
    <t xml:space="preserve">One-way fare (USD)</t>
  </si>
  <si>
    <t xml:space="preserve">Extra USD/pax 2030</t>
  </si>
  <si>
    <t xml:space="preserve">Ticket +% 2030</t>
  </si>
  <si>
    <t xml:space="preserve">+% 2030 net of ETS*</t>
  </si>
  <si>
    <t xml:space="preserve">Extra USD/pax 2050</t>
  </si>
  <si>
    <t xml:space="preserve">Ticket +% 2050</t>
  </si>
  <si>
    <t xml:space="preserve">+% 2050 net of ETS*</t>
  </si>
  <si>
    <t xml:space="preserve">Short haul - Economy</t>
  </si>
  <si>
    <t xml:space="preserve">Short haul - Business</t>
  </si>
  <si>
    <t xml:space="preserve">Long haul - Economy</t>
  </si>
  <si>
    <t xml:space="preserve">outside EU ETS</t>
  </si>
  <si>
    <t xml:space="preserve">Long haul - Business</t>
  </si>
  <si>
    <t xml:space="preserve">Operator-level view (whole network)</t>
  </si>
  <si>
    <t xml:space="preserve">Increase in the airline's total fuel bill</t>
  </si>
  <si>
    <t xml:space="preserve">Uniform pass-through on every ticket (fuel bill % x fuel share of opex)</t>
  </si>
  <si>
    <t xml:space="preserve">same % on every ticket if the airline spreads the cost pro-rata over operating cost</t>
  </si>
  <si>
    <t xml:space="preserve">e-SAF supply blend: each hub covers half its synthetic mandate with national production and half with imports from the cheapest exporter (Import case sheet; exporters capped at 50% of EU demand, mirroring the REPowerEU renewable-hydrogen balance). The blend cell B15/B16 is live - set B14 to 0% for the domestic-only view or 100% for import-only.</t>
  </si>
  <si>
    <t xml:space="preserve">* Net of ETS: credits the EU ETS allowances the displaced fossil fuel would have needed. Applies to intra-EEA departures (short haul here); long-haul extra-EU routes sit outside the EU ETS scope and CORSIA unit prices are negligible by comparison.</t>
  </si>
  <si>
    <t xml:space="preserve">Fuel per passenger: ~24 g/pax-km short haul and ~26 g/pax-km long haul (economy basis), consistent with UK DEFRA per-class flight factors and the ICCT transatlantic average of 34 pax-km/L. Cabin factors are DEFRA seat-area multipliers (business 1.5x short haul, 2.9x long haul).</t>
  </si>
  <si>
    <t xml:space="preserve">Fares are representative one-way values, deliberately editable: intra-EU economy ~110 USD (IATA global average one-way fare ~168 USD incl. ancillaries), euro-business ~3x economy, long-haul economy ~450 USD, long-haul business ~2,200 USD. The % result scales 1:1 with the fare you assume.</t>
  </si>
  <si>
    <t xml:space="preserve">Both views are consistent: the per-segment rows attribute fuel by seat area (business burns more, but its fare base is larger, so its % is lower); the operator row spreads the same total cost evenly. Reality sits between them, set by each airline's pricing power per cabin.</t>
  </si>
  <si>
    <t xml:space="preserve">The e-SAF costs are this model's delivered costs (no producer margin, no certificate value, no penalty avoidance). ReFuelEU's flexibility mechanism (2030-34) and mandate penalties would change airline strategy, not the underlying cost per tonne.</t>
  </si>
  <si>
    <t xml:space="preserve">Importing e-SAF from SAU / ARE / MAR vs producing domestically — every EU-27 hub, 2030 and 2050</t>
  </si>
  <si>
    <t xml:space="preserve">Exporters size one production system to 50% of the EU-27 synthetic mandate (197 kt/y 2030; 5.64 Mt/y 2050) - a REPowerEU-style import balance (cf. 10 Mt domestic + 10 Mt imported renewable H2) - at their best renewables near the chosen export terminal. Chain: production at terminal + sea freight + EU ETS on voyage emissions + import-port handling + inland to the hub airport + airport fee. All USD-2024 per tonne.</t>
  </si>
  <si>
    <t xml:space="preserve">Sea routing, emission anchors and the 50% EU / 50% origin carbon treatment are ported unchanged from the ammonia trade model (AP_IRA_Model); kerosene product-tanker costs replace the ammonia curve. See import_case/IMPORT_CASE_README.md for provenance, validation and caveats.</t>
  </si>
  <si>
    <t xml:space="preserve">Export production (plant sized to the whole EU-27 mandate; DAC carbon; country WACC)</t>
  </si>
  <si>
    <t xml:space="preserve">Exporter</t>
  </si>
  <si>
    <t xml:space="preserve">Year</t>
  </si>
  <si>
    <t xml:space="preserve">Export terminal</t>
  </si>
  <si>
    <t xml:space="preserve">Site lat</t>
  </si>
  <si>
    <t xml:space="preserve">Site lon</t>
  </si>
  <si>
    <t xml:space="preserve">Site→terminal (km)</t>
  </si>
  <si>
    <t xml:space="preserve">Inland mode</t>
  </si>
  <si>
    <t xml:space="preserve">Production at terminal (USD/t)</t>
  </si>
  <si>
    <t xml:space="preserve">Terminal candidates tried (USD/t)</t>
  </si>
  <si>
    <t xml:space="preserve">King Fahd Port</t>
  </si>
  <si>
    <t xml:space="preserve">rail</t>
  </si>
  <si>
    <t xml:space="preserve">King Fahd Port=7242</t>
  </si>
  <si>
    <t xml:space="preserve">Mina Jabal Ali</t>
  </si>
  <si>
    <t xml:space="preserve">Al Fujayrah=6990; Mina Jabal Ali=6982</t>
  </si>
  <si>
    <t xml:space="preserve">Ad Dakhla</t>
  </si>
  <si>
    <t xml:space="preserve">road</t>
  </si>
  <si>
    <t xml:space="preserve">Mohammedia=7602; Agadir=7579; Ad Dakhla=7523</t>
  </si>
  <si>
    <t xml:space="preserve">pipeline</t>
  </si>
  <si>
    <t xml:space="preserve">King Fahd Port=3084</t>
  </si>
  <si>
    <t xml:space="preserve">Al Fujayrah=2983; Mina Jabal Ali=2980</t>
  </si>
  <si>
    <t xml:space="preserve">Mohammedia=3219; Agadir=3195; Ad Dakhla=3148</t>
  </si>
  <si>
    <t xml:space="preserve">Delivered import cost per hub (all exporters) — TOTAL and comparison are live formulas</t>
  </si>
  <si>
    <t xml:space="preserve">Export port</t>
  </si>
  <si>
    <t xml:space="preserve">Import port</t>
  </si>
  <si>
    <t xml:space="preserve">Route (nm)</t>
  </si>
  <si>
    <t xml:space="preserve">Via Suez</t>
  </si>
  <si>
    <t xml:space="preserve">Vessel</t>
  </si>
  <si>
    <t xml:space="preserve">Production at terminal</t>
  </si>
  <si>
    <t xml:space="preserve">Sea freight</t>
  </si>
  <si>
    <t xml:space="preserve">Ship CO2 (kg/t)</t>
  </si>
  <si>
    <t xml:space="preserve">EU ETS on voyage</t>
  </si>
  <si>
    <t xml:space="preserve">Import port handling</t>
  </si>
  <si>
    <t xml:space="preserve">Inland to airport</t>
  </si>
  <si>
    <t xml:space="preserve">Airport fee</t>
  </si>
  <si>
    <t xml:space="preserve">TOTAL import (USD/t)</t>
  </si>
  <si>
    <t xml:space="preserve">Domestic (USD/t)</t>
  </si>
  <si>
    <t xml:space="preserve">Import vs domestic</t>
  </si>
  <si>
    <t xml:space="preserve">Cheapest option</t>
  </si>
  <si>
    <t xml:space="preserve">Trieste</t>
  </si>
  <si>
    <t xml:space="preserve">yes</t>
  </si>
  <si>
    <t xml:space="preserve">MR</t>
  </si>
  <si>
    <t xml:space="preserve">BEST — beats domestic</t>
  </si>
  <si>
    <t xml:space="preserve">no</t>
  </si>
  <si>
    <t xml:space="preserve">LR2</t>
  </si>
  <si>
    <t xml:space="preserve">Zeebrugge</t>
  </si>
  <si>
    <t xml:space="preserve">Varna</t>
  </si>
  <si>
    <t xml:space="preserve">Genova</t>
  </si>
  <si>
    <t xml:space="preserve">BEST — domestic cheaper</t>
  </si>
  <si>
    <t xml:space="preserve">Larnaca</t>
  </si>
  <si>
    <t xml:space="preserve">Szczecin</t>
  </si>
  <si>
    <t xml:space="preserve">Emden</t>
  </si>
  <si>
    <t xml:space="preserve">Kobenhavn</t>
  </si>
  <si>
    <t xml:space="preserve">El Grao</t>
  </si>
  <si>
    <t xml:space="preserve">Vanasadam - Port of Tallinn</t>
  </si>
  <si>
    <t xml:space="preserve">Helsinki</t>
  </si>
  <si>
    <t xml:space="preserve">Port Of Rouen</t>
  </si>
  <si>
    <t xml:space="preserve">London</t>
  </si>
  <si>
    <t xml:space="preserve">Piraievs</t>
  </si>
  <si>
    <t xml:space="preserve">Bakar</t>
  </si>
  <si>
    <t xml:space="preserve">Dublin</t>
  </si>
  <si>
    <t xml:space="preserve">Civitavecchia</t>
  </si>
  <si>
    <t xml:space="preserve">Klaipeda</t>
  </si>
  <si>
    <t xml:space="preserve">Vlissingen</t>
  </si>
  <si>
    <t xml:space="preserve">Riga</t>
  </si>
  <si>
    <t xml:space="preserve">Valletta Harbors</t>
  </si>
  <si>
    <t xml:space="preserve">Rotterdam</t>
  </si>
  <si>
    <t xml:space="preserve">Gdansk</t>
  </si>
  <si>
    <t xml:space="preserve">Sines</t>
  </si>
  <si>
    <t xml:space="preserve">Constanta</t>
  </si>
  <si>
    <t xml:space="preserve">Koper</t>
  </si>
  <si>
    <t xml:space="preserve">Stockholm</t>
  </si>
  <si>
    <t xml:space="preserve">Import ports: nearest energy-capable WPI port to the hub airport (oil-terminal depth &gt;= 9 m, oil-terminal flag, or Large/Medium liquid bulk). Coastal countries keep a national port (SVN Koper, MLT Valletta relaxed); landlocked use the nearest foreign energy port (AUT Trieste, CZE Szczecin, HUN+SVK Bakar, LUX Vlissingen).</t>
  </si>
  <si>
    <t xml:space="preserve">Sea freight: round-trip product-tanker voyage (charter + bunkers at 550 USD/t VLSFO + port costs + Suez toll 325k USD x2 transits where used) over the cargo parcel; year multipliers 1.00 (2030) -&gt; 0.80 (2050); +/-30% band available in shipping_kerosene.py. Ship CO2 = distance x 9 g/t-nm (2030) or 5 g/t-nm (2050); EU ETS = 50% x 141 / 271 USD per t CO2 (origin carbon price 0).</t>
  </si>
  <si>
    <t xml:space="preserve">Production at terminal swaps the airport fee for 5 USD/t terminal handling; import chain adds 5 USD/t port handling, road inland at 0.092 USD/t-km x 1.35 routing factor, and the standard 5.41 USD/t airport fee.</t>
  </si>
  <si>
    <t xml:space="preserve">Ad Dakhla is a greenfield terminal (Morocco-administered Western Sahara; Morocco's planned southern green-fuel corridor) — its 'Very Small' WPI status reflects today's port, not the assumed build-out. Exporter ranking is a financing story: UAE 8.0% vs SAU 8.7% vs MAR 10.0% real pre-tax WACC; the whole sea leg incl. ETS is 10-72 USD/t (0.3-2.5% of delivered cost).</t>
  </si>
  <si>
    <t xml:space="preserve">No producer margin, certificate value or penalty avoidance on either side; RFNBO import eligibility assumed (RED-compliant production). 2050 exporter volumes (11.27 Mt/y) represent a national export industry (number-up scaling), not a single plant.</t>
  </si>
  <si>
    <t xml:space="preserve">Full component breakdown — every country and scenario, USD-2024 per tonne of e-SAF</t>
  </si>
  <si>
    <t xml:space="preserve">Recomputed from the model's own cost functions at each run's chosen configuration and reconciled exactly against the run totals (column 'check_diff' = components minus the model's delivered cost; 0.00 everywhere). Each process line includes its share of balance-of-plant, owner's costs, contingency and fixed O&amp;M.</t>
  </si>
  <si>
    <t xml:space="preserve">Scenario</t>
  </si>
  <si>
    <t xml:space="preserve">Plant (kt/y)</t>
  </si>
  <si>
    <t xml:space="preserve">Strategy</t>
  </si>
  <si>
    <t xml:space="preserve">Carbon</t>
  </si>
  <si>
    <t xml:space="preserve">Wind</t>
  </si>
  <si>
    <t xml:space="preserve">Solar PV</t>
  </si>
  <si>
    <t xml:space="preserve">Battery</t>
  </si>
  <si>
    <t xml:space="preserve">Seasonal H2 store</t>
  </si>
  <si>
    <t xml:space="preserve">Fuel tank store</t>
  </si>
  <si>
    <t xml:space="preserve">Electrolyser flex oversize</t>
  </si>
  <si>
    <t xml:space="preserve">Electrolyser (incl. stacks)</t>
  </si>
  <si>
    <t xml:space="preserve">DAC</t>
  </si>
  <si>
    <t xml:space="preserve">FT + RWGS + upgrading</t>
  </si>
  <si>
    <t xml:space="preserve">Heat pump</t>
  </si>
  <si>
    <t xml:space="preserve">Compressors</t>
  </si>
  <si>
    <t xml:space="preserve">Buffers (CO2+H2)</t>
  </si>
  <si>
    <t xml:space="preserve">Fixed site services</t>
  </si>
  <si>
    <t xml:space="preserve">Purchased biogenic CO2</t>
  </si>
  <si>
    <t xml:space="preserve">Fuel transport</t>
  </si>
  <si>
    <t xml:space="preserve">Water</t>
  </si>
  <si>
    <t xml:space="preserve">Small lines subtotal (transport+fee+water)</t>
  </si>
  <si>
    <t xml:space="preserve">TOTAL</t>
  </si>
  <si>
    <t xml:space="preserve">Model delivered</t>
  </si>
  <si>
    <t xml:space="preserve">check_diff</t>
  </si>
  <si>
    <t xml:space="preserve">740 kt fixed (2030 tech)</t>
  </si>
  <si>
    <t xml:space="preserve">flex + fuel tanks</t>
  </si>
  <si>
    <t xml:space="preserve">biogenic</t>
  </si>
  <si>
    <t xml:space="preserve">2030 mandate (2030 tech)</t>
  </si>
  <si>
    <t xml:space="preserve">2050 mandate (2030 tech)</t>
  </si>
  <si>
    <t xml:space="preserve">2050 mandate (2050 tech)</t>
  </si>
  <si>
    <t xml:space="preserve">Column definitions and scenario notes</t>
  </si>
  <si>
    <t xml:space="preserve">Country / Country name / Hub airport / IATA</t>
  </si>
  <si>
    <t xml:space="preserve">The model places one plant per country and delivers to a single national hub airport (the busiest by fuel demand).</t>
  </si>
  <si>
    <t xml:space="preserve">Estimated jet fuel uplifted at the hub in 2024, thousand tonnes. Built from Eurostat national kerosene deliveries x the hub's share of national traffic, cross-checked against ICCT/ODI Airport Tracker departing-flight fuel burn (+/-10-20%). EASA's ReFuelEU report publishes no per-airport fuel.</t>
  </si>
  <si>
    <t xml:space="preserve">e-SAF share 2030 / 2050</t>
  </si>
  <si>
    <t xml:space="preserve">The regulated synthetic-fuel (RFNBO) share of all fuel supplied at the airport: ReFuelEU Annex I minimums (1.2% average 2030-31; 35% in 2050); UK SAF Mandate PtL sub-obligation for Heathrow (~0.5% in 2030, ~3.5% from 2040, held flat); Switzerland applies ReFuelEU at Zurich from 2026.</t>
  </si>
  <si>
    <t xml:space="preserve">Plant size 2030 / 2050 (kt/y)</t>
  </si>
  <si>
    <t xml:space="preserve">Plant capacity = hub fuel 2024 x fuel growth (EASA EAER 2025 base: +2% to 2030, ~0% to 2050 - traffic growth largely offset by efficiency) x the e-SAF share. Thousand tonnes of e-SAF per year.</t>
  </si>
  <si>
    <t xml:space="preserve">Delivered cost of one tonne of e-SAF at the hub airport for the 2030-mandate plant at 2030 technology costs: renewables + battery + seasonal storage + process plant + purchased CO2 + fuel transport + airport receiving fee + water, annualised at the country WACC. Real USD-2024. NOT a market price: no margin, taxes, subsidies or certificate value.</t>
  </si>
  <si>
    <t xml:space="preserve">The same figure converted at the editable USD-&gt;EUR rate on the Results sheet (2024 ECB annual average 0.9239).</t>
  </si>
  <si>
    <t xml:space="preserve">Strategy 2030 / 2050</t>
  </si>
  <si>
    <t xml:space="preserve">The cheaper of two operating strategies chosen by the optimiser: 'flexible + fuel tanks' = synthesis train oversized, follows the renewable seasons, finished fuel stored in tanks; 'steady + H2 cavern' = constant-output plant with a seasonal hydrogen store priced by national geology (salt cavern vs lined rock).</t>
  </si>
  <si>
    <t xml:space="preserve">Carbon 2030 / 2050</t>
  </si>
  <si>
    <t xml:space="preserve">The cheaper RFNBO-eligible carbon source: 'biogenic (purchased)' = CO2 bought from bioenergy/pulp/waste point sources within trucking range (Del. Reg. (EU) 2023/1185, Annex pt. 10(c)); 'DAC (on-site)' = direct air capture on the plant's own meter (pt. 10(b)). Fossil industrial CO2 is excluded (eligibility ends 2036/2041, inside the plant's life).</t>
  </si>
  <si>
    <t xml:space="preserve">Delivered cost of the purchased biogenic CO2 where chosen: capture + liquefaction + purity polishing + transfer + trucking over the mean collection haul implied by national source density. Blank where DAC is chosen.</t>
  </si>
  <si>
    <t xml:space="preserve">2050 mandate demand served with 2030 technology costs - isolates the pure scale/demand effect.</t>
  </si>
  <si>
    <t xml:space="preserve">Cost 2050 @2050 tech (USD/t and EUR/t)</t>
  </si>
  <si>
    <t xml:space="preserve">2050 mandate demand with published 2050 learning values for electrolyser, DAC, FT, PV, wind and battery (DEA / Fasihi / Seymour / NREL 2050 rows); financing and logistics stay at 2030 values. The headline 2050 number.</t>
  </si>
  <si>
    <t xml:space="preserve">Same model at the fixed 740 kt/y reference size used in earlier analyses (2030 technology) - the comparability anchor across model versions.</t>
  </si>
  <si>
    <t xml:space="preserve">Country-specific real pre-tax weighted average cost of capital applied to all capex (AURES II / IRENA surveys; UK DESNZ; CH SFOE; floor 4%, cap 10%). The process plant carries a +1pp premium.</t>
  </si>
  <si>
    <t xml:space="preserve">'salt' = onshore salt-cavern potential (Caglayan et al. 2020) - cheap seasonal H2 storage; 'rock' = no salt deposits, lined rock cavern assumed at ~2x the cost. Only matters where the steady + H2 cavern strategy is chosen.</t>
  </si>
  <si>
    <t xml:space="preserve">— Import case sheet —</t>
  </si>
  <si>
    <t xml:space="preserve">Delivered cost of IMPORTED e-SAF at every EU-27 hub vs producing domestically, 2030 and 2050. Exporters (SAU/ARE/MAR) site at their best renewables near a designated export terminal (candidates tried; cheapest kept — UAE via Jebel Ali, Saudi Arabia via Yanbu King Fahd Port, Morocco via Ad Dakhla) and size ONE production system to 50% of the EU-27 synthetic mandate (197 kt/y 2030, 5.64 Mt/y 2050 from EASA's 32.2 Mt Union uplift) - the import share capped at half the market, mirroring the REPowerEU renewable-hydrogen balance - so every EU country faces the same production cost and differs only in the sea lane, its EU ETS cost and the inland legs. Sea routing, emission anchors (9 g CO2/t-nm 2030, 5 g 2050) and the 50% EU / 50% origin carbon split are ported unchanged from the user's ammonia trade model; kerosene product-tanker voyage costs (MR 40 kt in 2030, LR2 90 kt in 2050) replace the ammonia cost curve. Import port per country = nearest energy-capable WPI port to the hub airport (national port for coastal countries; nearest foreign port for landlocked). TOTAL and 'import vs domestic' are live formulas over the component columns.</t>
  </si>
  <si>
    <t xml:space="preserve">— Ticket impact sheet —</t>
  </si>
  <si>
    <t xml:space="preserve">Translates the e-SAF mandate into end-consumer ticket increases for 2030 and 2050, vs the same flight burning 100% fossil jet. The e-SAF price airlines face is a live 50/50 blend of domestic production (EU-27 demand-weighted) and imports from the cheapest exporter (Import case sheet; import share editable, REPowerEU-style balance). Method: synthetic share x (blended e-SAF cost - fossil jet price) x fuel burn per passenger x cabin seat-area factor, divided by a representative fare; plus the operator-level view (fuel-bill % increase x fuel share of operating cost = uniform pass-through on every ticket). All drivers are editable input cells; a net-of-ETS column credits the EU ETS allowances the displaced fossil fuel would have needed on intra-EEA routes.</t>
  </si>
  <si>
    <t xml:space="preserve">— Cost breakdown sheet —</t>
  </si>
  <si>
    <t xml:space="preserve">One row per country x scenario (128 rows), every component in USD-2024 per tonne. Lines: Wind / Solar PV / Battery / Seasonal H2 store / Fuel tank store / Electrolyser flex oversize (extra electrolyser capacity some steady designs buy for diurnal flexibility) / Electrolyser incl. stack replacement / DAC / FT+RWGS+upgrading / Heat pump / Compressors / Buffers / Fixed site services / Purchased biogenic CO2 / Fuel transport / Airport fee / Water. 'Small lines subtotal' collects transport + airport fee + water - real but small (typically 50-90 USD/t, 1-2.5% of total; see the zoom panel in Figure 3). Purchased biogenic CO2 is 500-820 USD/t where chosen in 2030 and zero in the 2050 runs (all hubs flip to on-site DAC, whose cost then sits in the DAC and renewables lines). 'check_diff' proves the reconciliation: components minus the model's delivered total, 0.00 everywhere.</t>
  </si>
  <si>
    <t xml:space="preserve">Reader's caveats</t>
  </si>
  <si>
    <t xml:space="preserve">Base-case values: several input ranges are right-skewed (FOAK evidence), so these deterministic numbers behave like a ~p10 of the model's own uncertainty; the sampled p50 runs ~25-35% higher. Quote the p10-p50-p90 band for headline claims.</t>
  </si>
  <si>
    <t xml:space="preserve">Resource layer: these runs use the offline heuristic solar/wind layer on a 100 km grid for reproducibility; NASA POWER / PVGIS re-runs sharpen site differentiation but do not change the input economics.</t>
  </si>
  <si>
    <t xml:space="preserve">Micro plants: 2030 mandate volumes at small hubs (SVN 0.2 kt/y, SVK, EST, LTU, HRV, LVA, BGR under ~2 kt/y) are far below minimum economic plant scale; their costs are reported honestly but read as 'import or aggregate', not as investable projects.</t>
  </si>
  <si>
    <t xml:space="preserve">Comparators: EASA 2025 reference price for synthetic fuel from atmospheric CO2 is EUR 7,815-9,525/t; Project SkyPower puts 2030 European first plants at EUR 5,000-8,000/t and the long-term floor at EUR 3,000-4,000/t.</t>
  </si>
  <si>
    <t xml:space="preserve">Full provenance: every input's source, currency and vintage is in literature_inputs.json / country_finance.json / country_biogenic_co2.json / policy_demand.json; model mechanics in NUMBERS_REVIEW.md and SCALE_AND_CARBON_REVIEW.md.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</si>
</sst>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#,##0"/>
    <numFmt numFmtId="167" formatCode="0.0%"/>
    <numFmt numFmtId="168" formatCode="#,##0.0"/>
    <numFmt numFmtId="169" formatCode="0%"/>
    <numFmt numFmtId="170" formatCode="0.00"/>
    <numFmt numFmtId="171" formatCode="0.0"/>
    <numFmt numFmtId="172" formatCode="\+0.0%;\-0.0%"/>
    <numFmt numFmtId="173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8.5"/>
      <name val="Arial"/>
      <family val="0"/>
      <charset val="1"/>
    </font>
    <font>
      <b val="true"/>
      <sz val="8.5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BF3E4"/>
      </patternFill>
    </fill>
    <fill>
      <patternFill patternType="solid">
        <fgColor rgb="FFFBF3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BF3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3E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1" min="10" style="0" width="19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7" min="15" style="0" width="13"/>
    <col collapsed="false" customWidth="true" hidden="false" outlineLevel="0" max="19" min="18" style="0" width="19"/>
    <col collapsed="false" customWidth="true" hidden="false" outlineLevel="0" max="20" min="20" style="0" width="12"/>
    <col collapsed="false" customWidth="true" hidden="false" outlineLevel="0" max="21" min="21" style="0" width="9"/>
    <col collapsed="false" customWidth="true" hidden="false" outlineLevel="0" max="22" min="2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D3" s="4" t="n">
        <v>0.9239</v>
      </c>
      <c r="E3" s="5" t="s">
        <v>3</v>
      </c>
    </row>
    <row r="5" customFormat="false" ht="42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25</v>
      </c>
    </row>
    <row r="6" customFormat="false" ht="15" hidden="false" customHeight="false" outlineLevel="0" collapsed="false">
      <c r="A6" s="7" t="s">
        <v>26</v>
      </c>
      <c r="B6" s="7" t="s">
        <v>27</v>
      </c>
      <c r="C6" s="7" t="s">
        <v>28</v>
      </c>
      <c r="D6" s="7" t="s">
        <v>29</v>
      </c>
      <c r="E6" s="8" t="n">
        <v>2500</v>
      </c>
      <c r="F6" s="9" t="n">
        <v>0.012</v>
      </c>
      <c r="G6" s="10" t="n">
        <v>30.6</v>
      </c>
      <c r="H6" s="8" t="n">
        <v>6196</v>
      </c>
      <c r="I6" s="8" t="n">
        <f aca="false">H6*$D$3</f>
        <v>5724.4844</v>
      </c>
      <c r="J6" s="7" t="s">
        <v>30</v>
      </c>
      <c r="K6" s="7" t="s">
        <v>31</v>
      </c>
      <c r="L6" s="8" t="n">
        <v>118</v>
      </c>
      <c r="M6" s="9" t="n">
        <v>0.35</v>
      </c>
      <c r="N6" s="10" t="n">
        <v>875</v>
      </c>
      <c r="O6" s="8" t="n">
        <v>5193</v>
      </c>
      <c r="P6" s="8" t="n">
        <v>2821</v>
      </c>
      <c r="Q6" s="8" t="n">
        <f aca="false">P6*$D$3</f>
        <v>2606.3219</v>
      </c>
      <c r="R6" s="7" t="s">
        <v>32</v>
      </c>
      <c r="S6" s="7" t="s">
        <v>33</v>
      </c>
      <c r="T6" s="8" t="n">
        <v>5210</v>
      </c>
      <c r="U6" s="9" t="n">
        <v>0.052</v>
      </c>
      <c r="V6" s="7" t="s">
        <v>34</v>
      </c>
    </row>
    <row r="7" customFormat="false" ht="15" hidden="false" customHeight="false" outlineLevel="0" collapsed="false">
      <c r="A7" s="11" t="s">
        <v>35</v>
      </c>
      <c r="B7" s="11" t="s">
        <v>36</v>
      </c>
      <c r="C7" s="11" t="s">
        <v>37</v>
      </c>
      <c r="D7" s="11" t="s">
        <v>38</v>
      </c>
      <c r="E7" s="12" t="n">
        <v>4000</v>
      </c>
      <c r="F7" s="13" t="n">
        <v>0.012</v>
      </c>
      <c r="G7" s="14" t="n">
        <v>49</v>
      </c>
      <c r="H7" s="12" t="n">
        <v>5898</v>
      </c>
      <c r="I7" s="12" t="n">
        <f aca="false">H7*$D$3</f>
        <v>5449.1622</v>
      </c>
      <c r="J7" s="11" t="s">
        <v>30</v>
      </c>
      <c r="K7" s="11" t="s">
        <v>31</v>
      </c>
      <c r="L7" s="12" t="n">
        <v>116</v>
      </c>
      <c r="M7" s="13" t="n">
        <v>0.35</v>
      </c>
      <c r="N7" s="14" t="n">
        <v>1400</v>
      </c>
      <c r="O7" s="12" t="n">
        <v>5087</v>
      </c>
      <c r="P7" s="12" t="n">
        <v>2876</v>
      </c>
      <c r="Q7" s="12" t="n">
        <f aca="false">P7*$D$3</f>
        <v>2657.1364</v>
      </c>
      <c r="R7" s="11" t="s">
        <v>32</v>
      </c>
      <c r="S7" s="11" t="s">
        <v>33</v>
      </c>
      <c r="T7" s="12" t="n">
        <v>5155</v>
      </c>
      <c r="U7" s="13" t="n">
        <v>0.04</v>
      </c>
      <c r="V7" s="11" t="s">
        <v>34</v>
      </c>
    </row>
    <row r="8" customFormat="false" ht="15" hidden="false" customHeight="false" outlineLevel="0" collapsed="false">
      <c r="A8" s="7" t="s">
        <v>39</v>
      </c>
      <c r="B8" s="7" t="s">
        <v>40</v>
      </c>
      <c r="C8" s="7" t="s">
        <v>41</v>
      </c>
      <c r="D8" s="7" t="s">
        <v>42</v>
      </c>
      <c r="E8" s="8" t="n">
        <v>1050</v>
      </c>
      <c r="F8" s="9" t="n">
        <v>0.012</v>
      </c>
      <c r="G8" s="10" t="n">
        <v>12.9</v>
      </c>
      <c r="H8" s="8" t="n">
        <v>6616</v>
      </c>
      <c r="I8" s="8" t="n">
        <f aca="false">H8*$D$3</f>
        <v>6112.5224</v>
      </c>
      <c r="J8" s="7" t="s">
        <v>30</v>
      </c>
      <c r="K8" s="7" t="s">
        <v>31</v>
      </c>
      <c r="L8" s="8" t="n">
        <v>111</v>
      </c>
      <c r="M8" s="9" t="n">
        <v>0.35</v>
      </c>
      <c r="N8" s="10" t="n">
        <v>367.5</v>
      </c>
      <c r="O8" s="8" t="n">
        <v>5316</v>
      </c>
      <c r="P8" s="8" t="n">
        <v>2974</v>
      </c>
      <c r="Q8" s="8" t="n">
        <f aca="false">P8*$D$3</f>
        <v>2747.6786</v>
      </c>
      <c r="R8" s="7" t="s">
        <v>32</v>
      </c>
      <c r="S8" s="7" t="s">
        <v>33</v>
      </c>
      <c r="T8" s="8" t="n">
        <v>5252</v>
      </c>
      <c r="U8" s="9" t="n">
        <v>0.052</v>
      </c>
      <c r="V8" s="7" t="s">
        <v>34</v>
      </c>
    </row>
    <row r="9" customFormat="false" ht="15" hidden="false" customHeight="false" outlineLevel="0" collapsed="false">
      <c r="A9" s="11" t="s">
        <v>43</v>
      </c>
      <c r="B9" s="11" t="s">
        <v>44</v>
      </c>
      <c r="C9" s="11" t="s">
        <v>45</v>
      </c>
      <c r="D9" s="11" t="s">
        <v>35</v>
      </c>
      <c r="E9" s="12" t="n">
        <v>3550</v>
      </c>
      <c r="F9" s="13" t="n">
        <v>0.012</v>
      </c>
      <c r="G9" s="14" t="n">
        <v>43.5</v>
      </c>
      <c r="H9" s="12" t="n">
        <v>6061</v>
      </c>
      <c r="I9" s="12" t="n">
        <f aca="false">H9*$D$3</f>
        <v>5599.7579</v>
      </c>
      <c r="J9" s="11" t="s">
        <v>30</v>
      </c>
      <c r="K9" s="11" t="s">
        <v>31</v>
      </c>
      <c r="L9" s="12" t="n">
        <v>110</v>
      </c>
      <c r="M9" s="13" t="n">
        <v>0.35</v>
      </c>
      <c r="N9" s="14" t="n">
        <v>1242.5</v>
      </c>
      <c r="O9" s="12" t="n">
        <v>5096</v>
      </c>
      <c r="P9" s="12" t="n">
        <v>2990</v>
      </c>
      <c r="Q9" s="12" t="n">
        <f aca="false">P9*$D$3</f>
        <v>2762.461</v>
      </c>
      <c r="R9" s="11" t="s">
        <v>32</v>
      </c>
      <c r="S9" s="11" t="s">
        <v>33</v>
      </c>
      <c r="T9" s="12" t="n">
        <v>5136</v>
      </c>
      <c r="U9" s="13" t="n">
        <v>0.04</v>
      </c>
      <c r="V9" s="11" t="s">
        <v>34</v>
      </c>
    </row>
    <row r="10" customFormat="false" ht="15" hidden="false" customHeight="false" outlineLevel="0" collapsed="false">
      <c r="A10" s="7" t="s">
        <v>46</v>
      </c>
      <c r="B10" s="7" t="s">
        <v>47</v>
      </c>
      <c r="C10" s="7" t="s">
        <v>48</v>
      </c>
      <c r="D10" s="7" t="s">
        <v>49</v>
      </c>
      <c r="E10" s="8" t="n">
        <v>800</v>
      </c>
      <c r="F10" s="9" t="n">
        <v>0.012</v>
      </c>
      <c r="G10" s="10" t="n">
        <v>9.8</v>
      </c>
      <c r="H10" s="8" t="n">
        <v>6696</v>
      </c>
      <c r="I10" s="8" t="n">
        <f aca="false">H10*$D$3</f>
        <v>6186.4344</v>
      </c>
      <c r="J10" s="7" t="s">
        <v>30</v>
      </c>
      <c r="K10" s="7" t="s">
        <v>31</v>
      </c>
      <c r="L10" s="8" t="n">
        <v>106</v>
      </c>
      <c r="M10" s="9" t="n">
        <v>0.35</v>
      </c>
      <c r="N10" s="10" t="n">
        <v>280</v>
      </c>
      <c r="O10" s="8" t="n">
        <v>5010</v>
      </c>
      <c r="P10" s="8" t="n">
        <v>3067</v>
      </c>
      <c r="Q10" s="8" t="n">
        <f aca="false">P10*$D$3</f>
        <v>2833.6013</v>
      </c>
      <c r="R10" s="7" t="s">
        <v>30</v>
      </c>
      <c r="S10" s="7" t="s">
        <v>33</v>
      </c>
      <c r="T10" s="8" t="n">
        <v>4998</v>
      </c>
      <c r="U10" s="9" t="n">
        <v>0.04</v>
      </c>
      <c r="V10" s="7" t="s">
        <v>34</v>
      </c>
    </row>
    <row r="11" customFormat="false" ht="15" hidden="false" customHeight="false" outlineLevel="0" collapsed="false">
      <c r="A11" s="11" t="s">
        <v>50</v>
      </c>
      <c r="B11" s="11" t="s">
        <v>51</v>
      </c>
      <c r="C11" s="11" t="s">
        <v>52</v>
      </c>
      <c r="D11" s="11" t="s">
        <v>53</v>
      </c>
      <c r="E11" s="12" t="n">
        <v>1400</v>
      </c>
      <c r="F11" s="13" t="n">
        <v>0.012</v>
      </c>
      <c r="G11" s="14" t="n">
        <v>17.1</v>
      </c>
      <c r="H11" s="12" t="n">
        <v>6827</v>
      </c>
      <c r="I11" s="12" t="n">
        <f aca="false">H11*$D$3</f>
        <v>6307.4653</v>
      </c>
      <c r="J11" s="11" t="s">
        <v>32</v>
      </c>
      <c r="K11" s="11" t="s">
        <v>31</v>
      </c>
      <c r="L11" s="12" t="n">
        <v>110</v>
      </c>
      <c r="M11" s="13" t="n">
        <v>0.35</v>
      </c>
      <c r="N11" s="14" t="n">
        <v>490</v>
      </c>
      <c r="O11" s="12" t="n">
        <v>5306</v>
      </c>
      <c r="P11" s="12" t="n">
        <v>3101</v>
      </c>
      <c r="Q11" s="12" t="n">
        <f aca="false">P11*$D$3</f>
        <v>2865.0139</v>
      </c>
      <c r="R11" s="11" t="s">
        <v>32</v>
      </c>
      <c r="S11" s="11" t="s">
        <v>33</v>
      </c>
      <c r="T11" s="12" t="n">
        <v>5308</v>
      </c>
      <c r="U11" s="13" t="n">
        <v>0.049</v>
      </c>
      <c r="V11" s="11" t="s">
        <v>54</v>
      </c>
    </row>
    <row r="12" customFormat="false" ht="15" hidden="false" customHeight="false" outlineLevel="0" collapsed="false">
      <c r="A12" s="7" t="s">
        <v>55</v>
      </c>
      <c r="B12" s="7" t="s">
        <v>56</v>
      </c>
      <c r="C12" s="7" t="s">
        <v>57</v>
      </c>
      <c r="D12" s="7" t="s">
        <v>58</v>
      </c>
      <c r="E12" s="8" t="n">
        <v>1000</v>
      </c>
      <c r="F12" s="9" t="n">
        <v>0.012</v>
      </c>
      <c r="G12" s="10" t="n">
        <v>12.2</v>
      </c>
      <c r="H12" s="8" t="n">
        <v>6969</v>
      </c>
      <c r="I12" s="8" t="n">
        <f aca="false">H12*$D$3</f>
        <v>6438.6591</v>
      </c>
      <c r="J12" s="7" t="s">
        <v>30</v>
      </c>
      <c r="K12" s="7" t="s">
        <v>31</v>
      </c>
      <c r="L12" s="8" t="n">
        <v>109</v>
      </c>
      <c r="M12" s="9" t="n">
        <v>0.35</v>
      </c>
      <c r="N12" s="10" t="n">
        <v>350</v>
      </c>
      <c r="O12" s="8" t="n">
        <v>5572</v>
      </c>
      <c r="P12" s="8" t="n">
        <v>3166</v>
      </c>
      <c r="Q12" s="8" t="n">
        <f aca="false">P12*$D$3</f>
        <v>2925.0674</v>
      </c>
      <c r="R12" s="7" t="s">
        <v>32</v>
      </c>
      <c r="S12" s="7" t="s">
        <v>33</v>
      </c>
      <c r="T12" s="8" t="n">
        <v>5492</v>
      </c>
      <c r="U12" s="9" t="n">
        <v>0.041</v>
      </c>
      <c r="V12" s="7" t="s">
        <v>54</v>
      </c>
    </row>
    <row r="13" customFormat="false" ht="15" hidden="false" customHeight="false" outlineLevel="0" collapsed="false">
      <c r="A13" s="11" t="s">
        <v>59</v>
      </c>
      <c r="B13" s="11" t="s">
        <v>60</v>
      </c>
      <c r="C13" s="11" t="s">
        <v>61</v>
      </c>
      <c r="D13" s="11" t="s">
        <v>62</v>
      </c>
      <c r="E13" s="12" t="n">
        <v>720</v>
      </c>
      <c r="F13" s="13" t="n">
        <v>0.012</v>
      </c>
      <c r="G13" s="14" t="n">
        <v>8.8</v>
      </c>
      <c r="H13" s="12" t="n">
        <v>7980</v>
      </c>
      <c r="I13" s="12" t="n">
        <f aca="false">H13*$D$3</f>
        <v>7372.722</v>
      </c>
      <c r="J13" s="11" t="s">
        <v>30</v>
      </c>
      <c r="K13" s="11" t="s">
        <v>31</v>
      </c>
      <c r="L13" s="12" t="n">
        <v>127</v>
      </c>
      <c r="M13" s="13" t="n">
        <v>0.35</v>
      </c>
      <c r="N13" s="14" t="n">
        <v>252</v>
      </c>
      <c r="O13" s="12" t="n">
        <v>6095</v>
      </c>
      <c r="P13" s="12" t="n">
        <v>3199</v>
      </c>
      <c r="Q13" s="12" t="n">
        <f aca="false">P13*$D$3</f>
        <v>2955.5561</v>
      </c>
      <c r="R13" s="11" t="s">
        <v>30</v>
      </c>
      <c r="S13" s="11" t="s">
        <v>33</v>
      </c>
      <c r="T13" s="12" t="n">
        <v>5764</v>
      </c>
      <c r="U13" s="13" t="n">
        <v>0.06</v>
      </c>
      <c r="V13" s="11" t="s">
        <v>34</v>
      </c>
    </row>
    <row r="14" customFormat="false" ht="15" hidden="false" customHeight="false" outlineLevel="0" collapsed="false">
      <c r="A14" s="7" t="s">
        <v>63</v>
      </c>
      <c r="B14" s="7" t="s">
        <v>64</v>
      </c>
      <c r="C14" s="7" t="s">
        <v>65</v>
      </c>
      <c r="D14" s="7" t="s">
        <v>66</v>
      </c>
      <c r="E14" s="8" t="n">
        <v>630</v>
      </c>
      <c r="F14" s="9" t="n">
        <v>0.012</v>
      </c>
      <c r="G14" s="10" t="n">
        <v>7.7</v>
      </c>
      <c r="H14" s="8" t="n">
        <v>7199</v>
      </c>
      <c r="I14" s="8" t="n">
        <f aca="false">H14*$D$3</f>
        <v>6651.1561</v>
      </c>
      <c r="J14" s="7" t="s">
        <v>30</v>
      </c>
      <c r="K14" s="7" t="s">
        <v>31</v>
      </c>
      <c r="L14" s="8" t="n">
        <v>107</v>
      </c>
      <c r="M14" s="9" t="n">
        <v>0.35</v>
      </c>
      <c r="N14" s="10" t="n">
        <v>220.5</v>
      </c>
      <c r="O14" s="8" t="n">
        <v>5231</v>
      </c>
      <c r="P14" s="8" t="n">
        <v>3207</v>
      </c>
      <c r="Q14" s="8" t="n">
        <f aca="false">P14*$D$3</f>
        <v>2962.9473</v>
      </c>
      <c r="R14" s="7" t="s">
        <v>32</v>
      </c>
      <c r="S14" s="7" t="s">
        <v>33</v>
      </c>
      <c r="T14" s="8" t="n">
        <v>4995</v>
      </c>
      <c r="U14" s="9" t="n">
        <v>0.042</v>
      </c>
      <c r="V14" s="7" t="s">
        <v>54</v>
      </c>
    </row>
    <row r="15" customFormat="false" ht="15" hidden="false" customHeight="false" outlineLevel="0" collapsed="false">
      <c r="A15" s="11" t="s">
        <v>67</v>
      </c>
      <c r="B15" s="11" t="s">
        <v>68</v>
      </c>
      <c r="C15" s="11" t="s">
        <v>69</v>
      </c>
      <c r="D15" s="11" t="s">
        <v>70</v>
      </c>
      <c r="E15" s="12" t="n">
        <v>2950</v>
      </c>
      <c r="F15" s="13" t="n">
        <v>0.012</v>
      </c>
      <c r="G15" s="14" t="n">
        <v>36.1</v>
      </c>
      <c r="H15" s="12" t="n">
        <v>6524</v>
      </c>
      <c r="I15" s="12" t="n">
        <f aca="false">H15*$D$3</f>
        <v>6027.5236</v>
      </c>
      <c r="J15" s="11" t="s">
        <v>30</v>
      </c>
      <c r="K15" s="11" t="s">
        <v>31</v>
      </c>
      <c r="L15" s="12" t="n">
        <v>108</v>
      </c>
      <c r="M15" s="13" t="n">
        <v>0.35</v>
      </c>
      <c r="N15" s="14" t="n">
        <v>1032.5</v>
      </c>
      <c r="O15" s="12" t="n">
        <v>5587</v>
      </c>
      <c r="P15" s="12" t="n">
        <v>3273</v>
      </c>
      <c r="Q15" s="12" t="n">
        <f aca="false">P15*$D$3</f>
        <v>3023.9247</v>
      </c>
      <c r="R15" s="11" t="s">
        <v>30</v>
      </c>
      <c r="S15" s="11" t="s">
        <v>33</v>
      </c>
      <c r="T15" s="12" t="n">
        <v>5607</v>
      </c>
      <c r="U15" s="13" t="n">
        <v>0.05</v>
      </c>
      <c r="V15" s="11" t="s">
        <v>34</v>
      </c>
    </row>
    <row r="16" customFormat="false" ht="15" hidden="false" customHeight="false" outlineLevel="0" collapsed="false">
      <c r="A16" s="7" t="s">
        <v>71</v>
      </c>
      <c r="B16" s="7" t="s">
        <v>72</v>
      </c>
      <c r="C16" s="7" t="s">
        <v>73</v>
      </c>
      <c r="D16" s="7" t="s">
        <v>74</v>
      </c>
      <c r="E16" s="8" t="n">
        <v>975</v>
      </c>
      <c r="F16" s="9" t="n">
        <v>0.012</v>
      </c>
      <c r="G16" s="10" t="n">
        <v>11.9</v>
      </c>
      <c r="H16" s="8" t="n">
        <v>7075</v>
      </c>
      <c r="I16" s="8" t="n">
        <f aca="false">H16*$D$3</f>
        <v>6536.5925</v>
      </c>
      <c r="J16" s="7" t="s">
        <v>30</v>
      </c>
      <c r="K16" s="7" t="s">
        <v>31</v>
      </c>
      <c r="L16" s="8" t="n">
        <v>108</v>
      </c>
      <c r="M16" s="9" t="n">
        <v>0.35</v>
      </c>
      <c r="N16" s="10" t="n">
        <v>341.2</v>
      </c>
      <c r="O16" s="8" t="n">
        <v>5664</v>
      </c>
      <c r="P16" s="8" t="n">
        <v>3326</v>
      </c>
      <c r="Q16" s="8" t="n">
        <f aca="false">P16*$D$3</f>
        <v>3072.8914</v>
      </c>
      <c r="R16" s="7" t="s">
        <v>32</v>
      </c>
      <c r="S16" s="7" t="s">
        <v>33</v>
      </c>
      <c r="T16" s="8" t="n">
        <v>5585</v>
      </c>
      <c r="U16" s="9" t="n">
        <v>0.04</v>
      </c>
      <c r="V16" s="7" t="s">
        <v>54</v>
      </c>
    </row>
    <row r="17" customFormat="false" ht="15" hidden="false" customHeight="false" outlineLevel="0" collapsed="false">
      <c r="A17" s="11" t="s">
        <v>75</v>
      </c>
      <c r="B17" s="11" t="s">
        <v>76</v>
      </c>
      <c r="C17" s="11" t="s">
        <v>77</v>
      </c>
      <c r="D17" s="11" t="s">
        <v>78</v>
      </c>
      <c r="E17" s="12" t="n">
        <v>6200</v>
      </c>
      <c r="F17" s="13" t="n">
        <v>0.005</v>
      </c>
      <c r="G17" s="14" t="n">
        <v>31.6</v>
      </c>
      <c r="H17" s="12" t="n">
        <v>6390</v>
      </c>
      <c r="I17" s="12" t="n">
        <f aca="false">H17*$D$3</f>
        <v>5903.721</v>
      </c>
      <c r="J17" s="11" t="s">
        <v>30</v>
      </c>
      <c r="K17" s="11" t="s">
        <v>31</v>
      </c>
      <c r="L17" s="12" t="n">
        <v>108</v>
      </c>
      <c r="M17" s="13" t="n">
        <v>0.035</v>
      </c>
      <c r="N17" s="14" t="n">
        <v>217</v>
      </c>
      <c r="O17" s="12" t="n">
        <v>5429</v>
      </c>
      <c r="P17" s="12" t="n">
        <v>3373</v>
      </c>
      <c r="Q17" s="12" t="n">
        <f aca="false">P17*$D$3</f>
        <v>3116.3147</v>
      </c>
      <c r="R17" s="11" t="s">
        <v>30</v>
      </c>
      <c r="S17" s="11" t="s">
        <v>33</v>
      </c>
      <c r="T17" s="12" t="n">
        <v>5176</v>
      </c>
      <c r="U17" s="13" t="n">
        <v>0.054</v>
      </c>
      <c r="V17" s="11" t="s">
        <v>34</v>
      </c>
    </row>
    <row r="18" customFormat="false" ht="15" hidden="false" customHeight="false" outlineLevel="0" collapsed="false">
      <c r="A18" s="7" t="s">
        <v>79</v>
      </c>
      <c r="B18" s="7" t="s">
        <v>80</v>
      </c>
      <c r="C18" s="7" t="s">
        <v>81</v>
      </c>
      <c r="D18" s="7" t="s">
        <v>82</v>
      </c>
      <c r="E18" s="8" t="n">
        <v>530</v>
      </c>
      <c r="F18" s="9" t="n">
        <v>0.012</v>
      </c>
      <c r="G18" s="10" t="n">
        <v>6.5</v>
      </c>
      <c r="H18" s="8" t="n">
        <v>7588</v>
      </c>
      <c r="I18" s="8" t="n">
        <f aca="false">H18*$D$3</f>
        <v>7010.5532</v>
      </c>
      <c r="J18" s="7" t="s">
        <v>30</v>
      </c>
      <c r="K18" s="7" t="s">
        <v>31</v>
      </c>
      <c r="L18" s="8" t="n">
        <v>110</v>
      </c>
      <c r="M18" s="9" t="n">
        <v>0.35</v>
      </c>
      <c r="N18" s="10" t="n">
        <v>185.5</v>
      </c>
      <c r="O18" s="8" t="n">
        <v>5612</v>
      </c>
      <c r="P18" s="8" t="n">
        <v>3418</v>
      </c>
      <c r="Q18" s="8" t="n">
        <f aca="false">P18*$D$3</f>
        <v>3157.8902</v>
      </c>
      <c r="R18" s="7" t="s">
        <v>30</v>
      </c>
      <c r="S18" s="7" t="s">
        <v>33</v>
      </c>
      <c r="T18" s="8" t="n">
        <v>5441</v>
      </c>
      <c r="U18" s="9" t="n">
        <v>0.046</v>
      </c>
      <c r="V18" s="7" t="s">
        <v>34</v>
      </c>
    </row>
    <row r="19" customFormat="false" ht="15" hidden="false" customHeight="false" outlineLevel="0" collapsed="false">
      <c r="A19" s="11" t="s">
        <v>83</v>
      </c>
      <c r="B19" s="11" t="s">
        <v>84</v>
      </c>
      <c r="C19" s="11" t="s">
        <v>85</v>
      </c>
      <c r="D19" s="11" t="s">
        <v>83</v>
      </c>
      <c r="E19" s="12" t="n">
        <v>610</v>
      </c>
      <c r="F19" s="13" t="n">
        <v>0.012</v>
      </c>
      <c r="G19" s="14" t="n">
        <v>7.5</v>
      </c>
      <c r="H19" s="12" t="n">
        <v>7709</v>
      </c>
      <c r="I19" s="12" t="n">
        <f aca="false">H19*$D$3</f>
        <v>7122.3451</v>
      </c>
      <c r="J19" s="11" t="s">
        <v>30</v>
      </c>
      <c r="K19" s="11" t="s">
        <v>31</v>
      </c>
      <c r="L19" s="12" t="n">
        <v>107</v>
      </c>
      <c r="M19" s="13" t="n">
        <v>0.35</v>
      </c>
      <c r="N19" s="14" t="n">
        <v>213.5</v>
      </c>
      <c r="O19" s="12" t="n">
        <v>6200</v>
      </c>
      <c r="P19" s="12" t="n">
        <v>3524</v>
      </c>
      <c r="Q19" s="12" t="n">
        <f aca="false">P19*$D$3</f>
        <v>3255.8236</v>
      </c>
      <c r="R19" s="11" t="s">
        <v>32</v>
      </c>
      <c r="S19" s="11" t="s">
        <v>33</v>
      </c>
      <c r="T19" s="12" t="n">
        <v>5820</v>
      </c>
      <c r="U19" s="13" t="n">
        <v>0.045</v>
      </c>
      <c r="V19" s="11" t="s">
        <v>54</v>
      </c>
    </row>
    <row r="20" customFormat="false" ht="15" hidden="false" customHeight="false" outlineLevel="0" collapsed="false">
      <c r="A20" s="7" t="s">
        <v>86</v>
      </c>
      <c r="B20" s="7" t="s">
        <v>87</v>
      </c>
      <c r="C20" s="7" t="s">
        <v>88</v>
      </c>
      <c r="D20" s="7" t="s">
        <v>89</v>
      </c>
      <c r="E20" s="8" t="n">
        <v>850</v>
      </c>
      <c r="F20" s="9" t="n">
        <v>0.012</v>
      </c>
      <c r="G20" s="10" t="n">
        <v>10.4</v>
      </c>
      <c r="H20" s="8" t="n">
        <v>7595</v>
      </c>
      <c r="I20" s="8" t="n">
        <f aca="false">H20*$D$3</f>
        <v>7017.0205</v>
      </c>
      <c r="J20" s="7" t="s">
        <v>30</v>
      </c>
      <c r="K20" s="7" t="s">
        <v>31</v>
      </c>
      <c r="L20" s="8" t="n">
        <v>107</v>
      </c>
      <c r="M20" s="9" t="n">
        <v>0.35</v>
      </c>
      <c r="N20" s="10" t="n">
        <v>297.5</v>
      </c>
      <c r="O20" s="8" t="n">
        <v>5804</v>
      </c>
      <c r="P20" s="8" t="n">
        <v>3533</v>
      </c>
      <c r="Q20" s="8" t="n">
        <f aca="false">P20*$D$3</f>
        <v>3264.1387</v>
      </c>
      <c r="R20" s="7" t="s">
        <v>32</v>
      </c>
      <c r="S20" s="7" t="s">
        <v>33</v>
      </c>
      <c r="T20" s="8" t="n">
        <v>5783</v>
      </c>
      <c r="U20" s="9" t="n">
        <v>0.053</v>
      </c>
      <c r="V20" s="7" t="s">
        <v>54</v>
      </c>
    </row>
    <row r="21" customFormat="false" ht="15" hidden="false" customHeight="false" outlineLevel="0" collapsed="false">
      <c r="A21" s="11" t="s">
        <v>90</v>
      </c>
      <c r="B21" s="11" t="s">
        <v>91</v>
      </c>
      <c r="C21" s="11" t="s">
        <v>92</v>
      </c>
      <c r="D21" s="11" t="s">
        <v>93</v>
      </c>
      <c r="E21" s="12" t="n">
        <v>495</v>
      </c>
      <c r="F21" s="13" t="n">
        <v>0.012</v>
      </c>
      <c r="G21" s="14" t="n">
        <v>6.1</v>
      </c>
      <c r="H21" s="12" t="n">
        <v>8047</v>
      </c>
      <c r="I21" s="12" t="n">
        <f aca="false">H21*$D$3</f>
        <v>7434.6233</v>
      </c>
      <c r="J21" s="11" t="s">
        <v>30</v>
      </c>
      <c r="K21" s="11" t="s">
        <v>31</v>
      </c>
      <c r="L21" s="12" t="n">
        <v>106</v>
      </c>
      <c r="M21" s="13" t="n">
        <v>0.35</v>
      </c>
      <c r="N21" s="14" t="n">
        <v>173.2</v>
      </c>
      <c r="O21" s="12" t="n">
        <v>5711</v>
      </c>
      <c r="P21" s="12" t="n">
        <v>3580</v>
      </c>
      <c r="Q21" s="12" t="n">
        <f aca="false">P21*$D$3</f>
        <v>3307.562</v>
      </c>
      <c r="R21" s="11" t="s">
        <v>32</v>
      </c>
      <c r="S21" s="11" t="s">
        <v>33</v>
      </c>
      <c r="T21" s="12" t="n">
        <v>5342</v>
      </c>
      <c r="U21" s="13" t="n">
        <v>0.057</v>
      </c>
      <c r="V21" s="11" t="s">
        <v>54</v>
      </c>
    </row>
    <row r="22" customFormat="false" ht="15" hidden="false" customHeight="false" outlineLevel="0" collapsed="false">
      <c r="A22" s="7" t="s">
        <v>94</v>
      </c>
      <c r="B22" s="7" t="s">
        <v>95</v>
      </c>
      <c r="C22" s="7" t="s">
        <v>96</v>
      </c>
      <c r="D22" s="7" t="s">
        <v>97</v>
      </c>
      <c r="E22" s="8" t="n">
        <v>875</v>
      </c>
      <c r="F22" s="9" t="n">
        <v>0.012</v>
      </c>
      <c r="G22" s="10" t="n">
        <v>10.7</v>
      </c>
      <c r="H22" s="8" t="n">
        <v>7723</v>
      </c>
      <c r="I22" s="8" t="n">
        <f aca="false">H22*$D$3</f>
        <v>7135.2797</v>
      </c>
      <c r="J22" s="7" t="s">
        <v>30</v>
      </c>
      <c r="K22" s="7" t="s">
        <v>31</v>
      </c>
      <c r="L22" s="8" t="n">
        <v>111</v>
      </c>
      <c r="M22" s="9" t="n">
        <v>0.35</v>
      </c>
      <c r="N22" s="10" t="n">
        <v>306.2</v>
      </c>
      <c r="O22" s="8" t="n">
        <v>6322</v>
      </c>
      <c r="P22" s="8" t="n">
        <v>3603</v>
      </c>
      <c r="Q22" s="8" t="n">
        <f aca="false">P22*$D$3</f>
        <v>3328.8117</v>
      </c>
      <c r="R22" s="7" t="s">
        <v>32</v>
      </c>
      <c r="S22" s="7" t="s">
        <v>33</v>
      </c>
      <c r="T22" s="8" t="n">
        <v>6140</v>
      </c>
      <c r="U22" s="9" t="n">
        <v>0.065</v>
      </c>
      <c r="V22" s="7" t="s">
        <v>54</v>
      </c>
    </row>
    <row r="23" customFormat="false" ht="15" hidden="false" customHeight="false" outlineLevel="0" collapsed="false">
      <c r="A23" s="11" t="s">
        <v>98</v>
      </c>
      <c r="B23" s="11" t="s">
        <v>99</v>
      </c>
      <c r="C23" s="11" t="s">
        <v>100</v>
      </c>
      <c r="D23" s="11" t="s">
        <v>101</v>
      </c>
      <c r="E23" s="12" t="n">
        <v>215</v>
      </c>
      <c r="F23" s="13" t="n">
        <v>0.012</v>
      </c>
      <c r="G23" s="14" t="n">
        <v>2.6</v>
      </c>
      <c r="H23" s="12" t="n">
        <v>10956</v>
      </c>
      <c r="I23" s="12" t="n">
        <f aca="false">H23*$D$3</f>
        <v>10122.2484</v>
      </c>
      <c r="J23" s="11" t="s">
        <v>30</v>
      </c>
      <c r="K23" s="11" t="s">
        <v>33</v>
      </c>
      <c r="L23" s="12"/>
      <c r="M23" s="13" t="n">
        <v>0.35</v>
      </c>
      <c r="N23" s="14" t="n">
        <v>75.2</v>
      </c>
      <c r="O23" s="12" t="n">
        <v>6783</v>
      </c>
      <c r="P23" s="12" t="n">
        <v>3658</v>
      </c>
      <c r="Q23" s="12" t="n">
        <f aca="false">P23*$D$3</f>
        <v>3379.6262</v>
      </c>
      <c r="R23" s="11" t="s">
        <v>32</v>
      </c>
      <c r="S23" s="11" t="s">
        <v>33</v>
      </c>
      <c r="T23" s="12" t="n">
        <v>5710</v>
      </c>
      <c r="U23" s="13" t="n">
        <v>0.06</v>
      </c>
      <c r="V23" s="11" t="s">
        <v>54</v>
      </c>
    </row>
    <row r="24" customFormat="false" ht="15" hidden="false" customHeight="false" outlineLevel="0" collapsed="false">
      <c r="A24" s="7" t="s">
        <v>102</v>
      </c>
      <c r="B24" s="7" t="s">
        <v>103</v>
      </c>
      <c r="C24" s="7" t="s">
        <v>104</v>
      </c>
      <c r="D24" s="7" t="s">
        <v>105</v>
      </c>
      <c r="E24" s="8" t="n">
        <v>370</v>
      </c>
      <c r="F24" s="9" t="n">
        <v>0.012</v>
      </c>
      <c r="G24" s="10" t="n">
        <v>4.5</v>
      </c>
      <c r="H24" s="8" t="n">
        <v>8932</v>
      </c>
      <c r="I24" s="8" t="n">
        <f aca="false">H24*$D$3</f>
        <v>8252.2748</v>
      </c>
      <c r="J24" s="7" t="s">
        <v>30</v>
      </c>
      <c r="K24" s="7" t="s">
        <v>31</v>
      </c>
      <c r="L24" s="8" t="n">
        <v>113</v>
      </c>
      <c r="M24" s="9" t="n">
        <v>0.35</v>
      </c>
      <c r="N24" s="10" t="n">
        <v>129.5</v>
      </c>
      <c r="O24" s="8" t="n">
        <v>6672</v>
      </c>
      <c r="P24" s="8" t="n">
        <v>3825</v>
      </c>
      <c r="Q24" s="8" t="n">
        <f aca="false">P24*$D$3</f>
        <v>3533.9175</v>
      </c>
      <c r="R24" s="7" t="s">
        <v>32</v>
      </c>
      <c r="S24" s="7" t="s">
        <v>33</v>
      </c>
      <c r="T24" s="8" t="n">
        <v>6115</v>
      </c>
      <c r="U24" s="9" t="n">
        <v>0.056</v>
      </c>
      <c r="V24" s="7" t="s">
        <v>54</v>
      </c>
    </row>
    <row r="25" customFormat="false" ht="15" hidden="false" customHeight="false" outlineLevel="0" collapsed="false">
      <c r="A25" s="11" t="s">
        <v>106</v>
      </c>
      <c r="B25" s="11" t="s">
        <v>107</v>
      </c>
      <c r="C25" s="11" t="s">
        <v>108</v>
      </c>
      <c r="D25" s="11" t="s">
        <v>109</v>
      </c>
      <c r="E25" s="12" t="n">
        <v>161</v>
      </c>
      <c r="F25" s="13" t="n">
        <v>0.012</v>
      </c>
      <c r="G25" s="14" t="n">
        <v>2</v>
      </c>
      <c r="H25" s="12" t="n">
        <v>12311</v>
      </c>
      <c r="I25" s="12" t="n">
        <f aca="false">H25*$D$3</f>
        <v>11374.1329</v>
      </c>
      <c r="J25" s="11" t="s">
        <v>30</v>
      </c>
      <c r="K25" s="11" t="s">
        <v>33</v>
      </c>
      <c r="L25" s="12"/>
      <c r="M25" s="13" t="n">
        <v>0.35</v>
      </c>
      <c r="N25" s="14" t="n">
        <v>56.4</v>
      </c>
      <c r="O25" s="12" t="n">
        <v>7062</v>
      </c>
      <c r="P25" s="12" t="n">
        <v>3859</v>
      </c>
      <c r="Q25" s="12" t="n">
        <f aca="false">P25*$D$3</f>
        <v>3565.3301</v>
      </c>
      <c r="R25" s="11" t="s">
        <v>32</v>
      </c>
      <c r="S25" s="11" t="s">
        <v>33</v>
      </c>
      <c r="T25" s="12" t="n">
        <v>5816</v>
      </c>
      <c r="U25" s="13" t="n">
        <v>0.049</v>
      </c>
      <c r="V25" s="11" t="s">
        <v>54</v>
      </c>
    </row>
    <row r="26" customFormat="false" ht="15" hidden="false" customHeight="false" outlineLevel="0" collapsed="false">
      <c r="A26" s="7" t="s">
        <v>110</v>
      </c>
      <c r="B26" s="7" t="s">
        <v>111</v>
      </c>
      <c r="C26" s="7" t="s">
        <v>112</v>
      </c>
      <c r="D26" s="7" t="s">
        <v>113</v>
      </c>
      <c r="E26" s="8" t="n">
        <v>400</v>
      </c>
      <c r="F26" s="9" t="n">
        <v>0.012</v>
      </c>
      <c r="G26" s="10" t="n">
        <v>4.9</v>
      </c>
      <c r="H26" s="8" t="n">
        <v>8763</v>
      </c>
      <c r="I26" s="8" t="n">
        <f aca="false">H26*$D$3</f>
        <v>8096.1357</v>
      </c>
      <c r="J26" s="7" t="s">
        <v>30</v>
      </c>
      <c r="K26" s="7" t="s">
        <v>31</v>
      </c>
      <c r="L26" s="8" t="n">
        <v>107</v>
      </c>
      <c r="M26" s="9" t="n">
        <v>0.35</v>
      </c>
      <c r="N26" s="10" t="n">
        <v>140</v>
      </c>
      <c r="O26" s="8" t="n">
        <v>6199</v>
      </c>
      <c r="P26" s="8" t="n">
        <v>3891</v>
      </c>
      <c r="Q26" s="8" t="n">
        <f aca="false">P26*$D$3</f>
        <v>3594.8949</v>
      </c>
      <c r="R26" s="7" t="s">
        <v>32</v>
      </c>
      <c r="S26" s="7" t="s">
        <v>33</v>
      </c>
      <c r="T26" s="8" t="n">
        <v>6011</v>
      </c>
      <c r="U26" s="9" t="n">
        <v>0.055</v>
      </c>
      <c r="V26" s="7" t="s">
        <v>54</v>
      </c>
    </row>
    <row r="27" customFormat="false" ht="15" hidden="false" customHeight="false" outlineLevel="0" collapsed="false">
      <c r="A27" s="11" t="s">
        <v>114</v>
      </c>
      <c r="B27" s="11" t="s">
        <v>115</v>
      </c>
      <c r="C27" s="11" t="s">
        <v>116</v>
      </c>
      <c r="D27" s="11" t="s">
        <v>117</v>
      </c>
      <c r="E27" s="12" t="n">
        <v>280</v>
      </c>
      <c r="F27" s="13" t="n">
        <v>0.012</v>
      </c>
      <c r="G27" s="14" t="n">
        <v>3.4</v>
      </c>
      <c r="H27" s="12" t="n">
        <v>10019</v>
      </c>
      <c r="I27" s="12" t="n">
        <f aca="false">H27*$D$3</f>
        <v>9256.5541</v>
      </c>
      <c r="J27" s="11" t="s">
        <v>30</v>
      </c>
      <c r="K27" s="11" t="s">
        <v>31</v>
      </c>
      <c r="L27" s="12" t="n">
        <v>114</v>
      </c>
      <c r="M27" s="13" t="n">
        <v>0.35</v>
      </c>
      <c r="N27" s="14" t="n">
        <v>98</v>
      </c>
      <c r="O27" s="12" t="n">
        <v>7198</v>
      </c>
      <c r="P27" s="12" t="n">
        <v>4263</v>
      </c>
      <c r="Q27" s="12" t="n">
        <f aca="false">P27*$D$3</f>
        <v>3938.5857</v>
      </c>
      <c r="R27" s="11" t="s">
        <v>30</v>
      </c>
      <c r="S27" s="11" t="s">
        <v>33</v>
      </c>
      <c r="T27" s="12" t="n">
        <v>6638</v>
      </c>
      <c r="U27" s="13" t="n">
        <v>0.076</v>
      </c>
      <c r="V27" s="11" t="s">
        <v>34</v>
      </c>
    </row>
    <row r="28" customFormat="false" ht="15" hidden="false" customHeight="false" outlineLevel="0" collapsed="false">
      <c r="A28" s="7" t="s">
        <v>118</v>
      </c>
      <c r="B28" s="7" t="s">
        <v>119</v>
      </c>
      <c r="C28" s="7" t="s">
        <v>120</v>
      </c>
      <c r="D28" s="7" t="s">
        <v>121</v>
      </c>
      <c r="E28" s="8" t="n">
        <v>160</v>
      </c>
      <c r="F28" s="9" t="n">
        <v>0.012</v>
      </c>
      <c r="G28" s="10" t="n">
        <v>2</v>
      </c>
      <c r="H28" s="8" t="n">
        <v>13008</v>
      </c>
      <c r="I28" s="8" t="n">
        <f aca="false">H28*$D$3</f>
        <v>12018.0912</v>
      </c>
      <c r="J28" s="7" t="s">
        <v>32</v>
      </c>
      <c r="K28" s="7" t="s">
        <v>31</v>
      </c>
      <c r="L28" s="8" t="n">
        <v>109</v>
      </c>
      <c r="M28" s="9" t="n">
        <v>0.35</v>
      </c>
      <c r="N28" s="10" t="n">
        <v>56</v>
      </c>
      <c r="O28" s="8" t="n">
        <v>8187</v>
      </c>
      <c r="P28" s="8" t="n">
        <v>4999</v>
      </c>
      <c r="Q28" s="8" t="n">
        <f aca="false">P28*$D$3</f>
        <v>4618.5761</v>
      </c>
      <c r="R28" s="7" t="s">
        <v>32</v>
      </c>
      <c r="S28" s="7" t="s">
        <v>33</v>
      </c>
      <c r="T28" s="8" t="n">
        <v>7311</v>
      </c>
      <c r="U28" s="9" t="n">
        <v>0.09</v>
      </c>
      <c r="V28" s="7" t="s">
        <v>54</v>
      </c>
    </row>
    <row r="29" customFormat="false" ht="15" hidden="false" customHeight="false" outlineLevel="0" collapsed="false">
      <c r="A29" s="11" t="s">
        <v>122</v>
      </c>
      <c r="B29" s="11" t="s">
        <v>123</v>
      </c>
      <c r="C29" s="11" t="s">
        <v>124</v>
      </c>
      <c r="D29" s="11" t="s">
        <v>125</v>
      </c>
      <c r="E29" s="12" t="n">
        <v>83</v>
      </c>
      <c r="F29" s="13" t="n">
        <v>0.012</v>
      </c>
      <c r="G29" s="14" t="n">
        <v>1</v>
      </c>
      <c r="H29" s="12" t="n">
        <v>17261</v>
      </c>
      <c r="I29" s="12" t="n">
        <f aca="false">H29*$D$3</f>
        <v>15947.4379</v>
      </c>
      <c r="J29" s="11" t="s">
        <v>32</v>
      </c>
      <c r="K29" s="11" t="s">
        <v>31</v>
      </c>
      <c r="L29" s="12" t="n">
        <v>109</v>
      </c>
      <c r="M29" s="13" t="n">
        <v>0.35</v>
      </c>
      <c r="N29" s="14" t="n">
        <v>29.1</v>
      </c>
      <c r="O29" s="12" t="n">
        <v>8412</v>
      </c>
      <c r="P29" s="12" t="n">
        <v>5166</v>
      </c>
      <c r="Q29" s="12" t="n">
        <f aca="false">P29*$D$3</f>
        <v>4772.8674</v>
      </c>
      <c r="R29" s="11" t="s">
        <v>32</v>
      </c>
      <c r="S29" s="11" t="s">
        <v>33</v>
      </c>
      <c r="T29" s="12" t="n">
        <v>6907</v>
      </c>
      <c r="U29" s="13" t="n">
        <v>0.078</v>
      </c>
      <c r="V29" s="11" t="s">
        <v>54</v>
      </c>
    </row>
    <row r="30" customFormat="false" ht="15" hidden="false" customHeight="false" outlineLevel="0" collapsed="false">
      <c r="A30" s="7" t="s">
        <v>126</v>
      </c>
      <c r="B30" s="7" t="s">
        <v>127</v>
      </c>
      <c r="C30" s="7" t="s">
        <v>128</v>
      </c>
      <c r="D30" s="7" t="s">
        <v>129</v>
      </c>
      <c r="E30" s="8" t="n">
        <v>56</v>
      </c>
      <c r="F30" s="9" t="n">
        <v>0.012</v>
      </c>
      <c r="G30" s="10" t="n">
        <v>0.7</v>
      </c>
      <c r="H30" s="8" t="n">
        <v>21724</v>
      </c>
      <c r="I30" s="8" t="n">
        <f aca="false">H30*$D$3</f>
        <v>20070.8036</v>
      </c>
      <c r="J30" s="7" t="s">
        <v>30</v>
      </c>
      <c r="K30" s="7" t="s">
        <v>31</v>
      </c>
      <c r="L30" s="8" t="n">
        <v>105</v>
      </c>
      <c r="M30" s="9" t="n">
        <v>0.35</v>
      </c>
      <c r="N30" s="10" t="n">
        <v>19.6</v>
      </c>
      <c r="O30" s="8" t="n">
        <v>7774</v>
      </c>
      <c r="P30" s="8" t="n">
        <v>5273</v>
      </c>
      <c r="Q30" s="8" t="n">
        <f aca="false">P30*$D$3</f>
        <v>4871.7247</v>
      </c>
      <c r="R30" s="7" t="s">
        <v>32</v>
      </c>
      <c r="S30" s="7" t="s">
        <v>33</v>
      </c>
      <c r="T30" s="8" t="n">
        <v>6614</v>
      </c>
      <c r="U30" s="9" t="n">
        <v>0.072</v>
      </c>
      <c r="V30" s="7" t="s">
        <v>54</v>
      </c>
    </row>
    <row r="31" customFormat="false" ht="15" hidden="false" customHeight="false" outlineLevel="0" collapsed="false">
      <c r="A31" s="11" t="s">
        <v>130</v>
      </c>
      <c r="B31" s="11" t="s">
        <v>131</v>
      </c>
      <c r="C31" s="11" t="s">
        <v>132</v>
      </c>
      <c r="D31" s="11" t="s">
        <v>133</v>
      </c>
      <c r="E31" s="12" t="n">
        <v>28</v>
      </c>
      <c r="F31" s="13" t="n">
        <v>0.012</v>
      </c>
      <c r="G31" s="14" t="n">
        <v>0.3</v>
      </c>
      <c r="H31" s="12" t="n">
        <v>35720</v>
      </c>
      <c r="I31" s="12" t="n">
        <f aca="false">H31*$D$3</f>
        <v>33001.708</v>
      </c>
      <c r="J31" s="11" t="s">
        <v>30</v>
      </c>
      <c r="K31" s="11" t="s">
        <v>31</v>
      </c>
      <c r="L31" s="12" t="n">
        <v>106</v>
      </c>
      <c r="M31" s="13" t="n">
        <v>0.35</v>
      </c>
      <c r="N31" s="14" t="n">
        <v>9.8</v>
      </c>
      <c r="O31" s="12" t="n">
        <v>7787</v>
      </c>
      <c r="P31" s="12" t="n">
        <v>5354</v>
      </c>
      <c r="Q31" s="12" t="n">
        <f aca="false">P31*$D$3</f>
        <v>4946.5606</v>
      </c>
      <c r="R31" s="11" t="s">
        <v>32</v>
      </c>
      <c r="S31" s="11" t="s">
        <v>33</v>
      </c>
      <c r="T31" s="12" t="n">
        <v>6160</v>
      </c>
      <c r="U31" s="13" t="n">
        <v>0.055</v>
      </c>
      <c r="V31" s="11" t="s">
        <v>54</v>
      </c>
    </row>
    <row r="32" customFormat="false" ht="15" hidden="false" customHeight="false" outlineLevel="0" collapsed="false">
      <c r="A32" s="7" t="s">
        <v>134</v>
      </c>
      <c r="B32" s="7" t="s">
        <v>135</v>
      </c>
      <c r="C32" s="7" t="s">
        <v>136</v>
      </c>
      <c r="D32" s="7" t="s">
        <v>137</v>
      </c>
      <c r="E32" s="8" t="n">
        <v>126</v>
      </c>
      <c r="F32" s="9" t="n">
        <v>0.012</v>
      </c>
      <c r="G32" s="10" t="n">
        <v>1.5</v>
      </c>
      <c r="H32" s="8" t="n">
        <v>14470</v>
      </c>
      <c r="I32" s="8" t="n">
        <f aca="false">H32*$D$3</f>
        <v>13368.833</v>
      </c>
      <c r="J32" s="7" t="s">
        <v>30</v>
      </c>
      <c r="K32" s="7" t="s">
        <v>31</v>
      </c>
      <c r="L32" s="8" t="n">
        <v>106</v>
      </c>
      <c r="M32" s="9" t="n">
        <v>0.35</v>
      </c>
      <c r="N32" s="10" t="n">
        <v>44.1</v>
      </c>
      <c r="O32" s="8" t="n">
        <v>8059</v>
      </c>
      <c r="P32" s="8" t="n">
        <v>5378</v>
      </c>
      <c r="Q32" s="8" t="n">
        <f aca="false">P32*$D$3</f>
        <v>4968.7342</v>
      </c>
      <c r="R32" s="7" t="s">
        <v>32</v>
      </c>
      <c r="S32" s="7" t="s">
        <v>33</v>
      </c>
      <c r="T32" s="8" t="n">
        <v>7372</v>
      </c>
      <c r="U32" s="9" t="n">
        <v>0.09</v>
      </c>
      <c r="V32" s="7" t="s">
        <v>54</v>
      </c>
    </row>
    <row r="33" customFormat="false" ht="15" hidden="false" customHeight="false" outlineLevel="0" collapsed="false">
      <c r="A33" s="11" t="s">
        <v>138</v>
      </c>
      <c r="B33" s="11" t="s">
        <v>139</v>
      </c>
      <c r="C33" s="11" t="s">
        <v>140</v>
      </c>
      <c r="D33" s="11" t="s">
        <v>141</v>
      </c>
      <c r="E33" s="12" t="n">
        <v>80</v>
      </c>
      <c r="F33" s="13" t="n">
        <v>0.012</v>
      </c>
      <c r="G33" s="14" t="n">
        <v>1</v>
      </c>
      <c r="H33" s="12" t="n">
        <v>18089</v>
      </c>
      <c r="I33" s="12" t="n">
        <f aca="false">H33*$D$3</f>
        <v>16712.4271</v>
      </c>
      <c r="J33" s="11" t="s">
        <v>30</v>
      </c>
      <c r="K33" s="11" t="s">
        <v>31</v>
      </c>
      <c r="L33" s="12" t="n">
        <v>106</v>
      </c>
      <c r="M33" s="13" t="n">
        <v>0.35</v>
      </c>
      <c r="N33" s="14" t="n">
        <v>28</v>
      </c>
      <c r="O33" s="12" t="n">
        <v>8344</v>
      </c>
      <c r="P33" s="12" t="n">
        <v>5641</v>
      </c>
      <c r="Q33" s="12" t="n">
        <f aca="false">P33*$D$3</f>
        <v>5211.7199</v>
      </c>
      <c r="R33" s="11" t="s">
        <v>32</v>
      </c>
      <c r="S33" s="11" t="s">
        <v>33</v>
      </c>
      <c r="T33" s="12" t="n">
        <v>7279</v>
      </c>
      <c r="U33" s="13" t="n">
        <v>0.088</v>
      </c>
      <c r="V33" s="11" t="s">
        <v>54</v>
      </c>
    </row>
    <row r="34" customFormat="false" ht="15" hidden="false" customHeight="false" outlineLevel="0" collapsed="false">
      <c r="A34" s="7" t="s">
        <v>142</v>
      </c>
      <c r="B34" s="7" t="s">
        <v>143</v>
      </c>
      <c r="C34" s="7" t="s">
        <v>144</v>
      </c>
      <c r="D34" s="7" t="s">
        <v>145</v>
      </c>
      <c r="E34" s="8" t="n">
        <v>20</v>
      </c>
      <c r="F34" s="9" t="n">
        <v>0.012</v>
      </c>
      <c r="G34" s="10" t="n">
        <v>0.2</v>
      </c>
      <c r="H34" s="8" t="n">
        <v>48225</v>
      </c>
      <c r="I34" s="8" t="n">
        <f aca="false">H34*$D$3</f>
        <v>44555.0775</v>
      </c>
      <c r="J34" s="7" t="s">
        <v>30</v>
      </c>
      <c r="K34" s="7" t="s">
        <v>31</v>
      </c>
      <c r="L34" s="8" t="n">
        <v>105</v>
      </c>
      <c r="M34" s="9" t="n">
        <v>0.35</v>
      </c>
      <c r="N34" s="10" t="n">
        <v>7</v>
      </c>
      <c r="O34" s="8" t="n">
        <v>9069</v>
      </c>
      <c r="P34" s="8" t="n">
        <v>6394</v>
      </c>
      <c r="Q34" s="8" t="n">
        <f aca="false">P34*$D$3</f>
        <v>5907.4166</v>
      </c>
      <c r="R34" s="7" t="s">
        <v>32</v>
      </c>
      <c r="S34" s="7" t="s">
        <v>33</v>
      </c>
      <c r="T34" s="8" t="n">
        <v>7005</v>
      </c>
      <c r="U34" s="9" t="n">
        <v>0.078</v>
      </c>
      <c r="V34" s="7" t="s">
        <v>54</v>
      </c>
    </row>
    <row r="35" customFormat="false" ht="15" hidden="false" customHeight="false" outlineLevel="0" collapsed="false">
      <c r="A35" s="15" t="s">
        <v>146</v>
      </c>
      <c r="B35" s="15" t="s">
        <v>147</v>
      </c>
      <c r="C35" s="15" t="s">
        <v>148</v>
      </c>
      <c r="D35" s="15" t="s">
        <v>149</v>
      </c>
      <c r="E35" s="16" t="n">
        <v>1100</v>
      </c>
      <c r="F35" s="17"/>
      <c r="G35" s="18"/>
      <c r="H35" s="16"/>
      <c r="I35" s="16"/>
      <c r="J35" s="15" t="s">
        <v>150</v>
      </c>
      <c r="K35" s="15" t="s">
        <v>33</v>
      </c>
      <c r="L35" s="16"/>
      <c r="M35" s="17"/>
      <c r="N35" s="18"/>
      <c r="O35" s="16"/>
      <c r="P35" s="16" t="n">
        <v>3442</v>
      </c>
      <c r="Q35" s="16"/>
      <c r="R35" s="15" t="s">
        <v>32</v>
      </c>
      <c r="S35" s="15" t="s">
        <v>33</v>
      </c>
      <c r="T35" s="16" t="n">
        <v>6697</v>
      </c>
      <c r="U35" s="17" t="n">
        <v>0.087</v>
      </c>
      <c r="V35" s="15" t="s">
        <v>54</v>
      </c>
    </row>
    <row r="36" customFormat="false" ht="15" hidden="false" customHeight="false" outlineLevel="0" collapsed="false">
      <c r="A36" s="15" t="s">
        <v>151</v>
      </c>
      <c r="B36" s="15" t="s">
        <v>152</v>
      </c>
      <c r="C36" s="15" t="s">
        <v>153</v>
      </c>
      <c r="D36" s="15" t="s">
        <v>154</v>
      </c>
      <c r="E36" s="16" t="n">
        <v>6300</v>
      </c>
      <c r="F36" s="17"/>
      <c r="G36" s="18"/>
      <c r="H36" s="16"/>
      <c r="I36" s="16"/>
      <c r="J36" s="15" t="s">
        <v>150</v>
      </c>
      <c r="K36" s="15" t="s">
        <v>33</v>
      </c>
      <c r="L36" s="16"/>
      <c r="M36" s="17"/>
      <c r="N36" s="18"/>
      <c r="O36" s="16"/>
      <c r="P36" s="16" t="n">
        <v>3300</v>
      </c>
      <c r="Q36" s="16"/>
      <c r="R36" s="15" t="s">
        <v>32</v>
      </c>
      <c r="S36" s="15" t="s">
        <v>33</v>
      </c>
      <c r="T36" s="16" t="n">
        <v>6431</v>
      </c>
      <c r="U36" s="17" t="n">
        <v>0.08</v>
      </c>
      <c r="V36" s="15" t="s">
        <v>54</v>
      </c>
    </row>
    <row r="37" customFormat="false" ht="15" hidden="false" customHeight="false" outlineLevel="0" collapsed="false">
      <c r="A37" s="15" t="s">
        <v>155</v>
      </c>
      <c r="B37" s="15" t="s">
        <v>156</v>
      </c>
      <c r="C37" s="15" t="s">
        <v>157</v>
      </c>
      <c r="D37" s="15" t="s">
        <v>158</v>
      </c>
      <c r="E37" s="16" t="n">
        <v>430</v>
      </c>
      <c r="F37" s="17"/>
      <c r="G37" s="18"/>
      <c r="H37" s="16"/>
      <c r="I37" s="16"/>
      <c r="J37" s="15" t="s">
        <v>150</v>
      </c>
      <c r="K37" s="15" t="s">
        <v>33</v>
      </c>
      <c r="L37" s="16"/>
      <c r="M37" s="17"/>
      <c r="N37" s="18"/>
      <c r="O37" s="16"/>
      <c r="P37" s="16" t="n">
        <v>3566</v>
      </c>
      <c r="Q37" s="16"/>
      <c r="R37" s="15" t="s">
        <v>32</v>
      </c>
      <c r="S37" s="15" t="s">
        <v>33</v>
      </c>
      <c r="T37" s="16" t="n">
        <v>7003</v>
      </c>
      <c r="U37" s="17" t="n">
        <v>0.1</v>
      </c>
      <c r="V37" s="15" t="s">
        <v>54</v>
      </c>
    </row>
    <row r="39" customFormat="false" ht="15" hidden="false" customHeight="false" outlineLevel="0" collapsed="false">
      <c r="A39" s="5" t="s">
        <v>159</v>
      </c>
    </row>
  </sheetData>
  <autoFilter ref="A5:V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9" t="s">
        <v>160</v>
      </c>
    </row>
    <row r="2" customFormat="false" ht="15" hidden="false" customHeight="false" outlineLevel="0" collapsed="false">
      <c r="A2" s="2" t="s">
        <v>161</v>
      </c>
    </row>
    <row r="3" customFormat="false" ht="15" hidden="false" customHeight="false" outlineLevel="0" collapsed="false">
      <c r="A3" s="2" t="s">
        <v>162</v>
      </c>
    </row>
    <row r="5" customFormat="false" ht="15" hidden="false" customHeight="false" outlineLevel="0" collapsed="false">
      <c r="A5" s="20" t="s">
        <v>163</v>
      </c>
    </row>
    <row r="6" customFormat="false" ht="15" hidden="false" customHeight="false" outlineLevel="0" collapsed="false">
      <c r="A6" s="21" t="s">
        <v>164</v>
      </c>
      <c r="B6" s="22" t="n">
        <v>780</v>
      </c>
      <c r="C6" s="5" t="s">
        <v>165</v>
      </c>
    </row>
    <row r="7" customFormat="false" ht="15" hidden="false" customHeight="false" outlineLevel="0" collapsed="false">
      <c r="A7" s="21" t="s">
        <v>166</v>
      </c>
      <c r="B7" s="23" t="n">
        <v>0.288</v>
      </c>
      <c r="C7" s="5" t="s">
        <v>167</v>
      </c>
    </row>
    <row r="8" customFormat="false" ht="15" hidden="false" customHeight="false" outlineLevel="0" collapsed="false">
      <c r="A8" s="21" t="s">
        <v>168</v>
      </c>
      <c r="B8" s="23" t="n">
        <v>0.012</v>
      </c>
      <c r="C8" s="5" t="s">
        <v>169</v>
      </c>
    </row>
    <row r="9" customFormat="false" ht="15" hidden="false" customHeight="false" outlineLevel="0" collapsed="false">
      <c r="A9" s="21" t="s">
        <v>170</v>
      </c>
      <c r="B9" s="24" t="n">
        <v>0.35</v>
      </c>
      <c r="C9" s="5" t="s">
        <v>171</v>
      </c>
    </row>
    <row r="10" customFormat="false" ht="15" hidden="false" customHeight="false" outlineLevel="0" collapsed="false">
      <c r="A10" s="21" t="s">
        <v>172</v>
      </c>
      <c r="B10" s="22" t="n">
        <v>7056</v>
      </c>
      <c r="C10" s="5" t="s">
        <v>173</v>
      </c>
    </row>
    <row r="11" customFormat="false" ht="15" hidden="false" customHeight="false" outlineLevel="0" collapsed="false">
      <c r="A11" s="21" t="s">
        <v>174</v>
      </c>
      <c r="B11" s="22" t="n">
        <v>3207</v>
      </c>
      <c r="C11" s="5" t="s">
        <v>175</v>
      </c>
    </row>
    <row r="12" customFormat="false" ht="15" hidden="false" customHeight="false" outlineLevel="0" collapsed="false">
      <c r="A12" s="21" t="s">
        <v>176</v>
      </c>
      <c r="B12" s="22" t="n">
        <v>7076</v>
      </c>
      <c r="C12" s="5" t="s">
        <v>177</v>
      </c>
    </row>
    <row r="13" customFormat="false" ht="15" hidden="false" customHeight="false" outlineLevel="0" collapsed="false">
      <c r="A13" s="21" t="s">
        <v>178</v>
      </c>
      <c r="B13" s="22" t="n">
        <v>3041</v>
      </c>
      <c r="C13" s="5" t="s">
        <v>179</v>
      </c>
    </row>
    <row r="14" customFormat="false" ht="15" hidden="false" customHeight="false" outlineLevel="0" collapsed="false">
      <c r="A14" s="21" t="s">
        <v>180</v>
      </c>
      <c r="B14" s="24" t="n">
        <v>0.5</v>
      </c>
      <c r="C14" s="5" t="s">
        <v>181</v>
      </c>
    </row>
    <row r="15" customFormat="false" ht="15" hidden="false" customHeight="false" outlineLevel="0" collapsed="false">
      <c r="A15" s="21" t="s">
        <v>182</v>
      </c>
      <c r="B15" s="25" t="n">
        <f aca="false">(1-$B$14)*B10+$B$14*B12</f>
        <v>7066</v>
      </c>
      <c r="C15" s="5" t="s">
        <v>183</v>
      </c>
    </row>
    <row r="16" customFormat="false" ht="15" hidden="false" customHeight="false" outlineLevel="0" collapsed="false">
      <c r="A16" s="21" t="s">
        <v>184</v>
      </c>
      <c r="B16" s="25" t="n">
        <f aca="false">(1-$B$14)*B11+$B$14*B13</f>
        <v>3124</v>
      </c>
    </row>
    <row r="17" customFormat="false" ht="15" hidden="false" customHeight="false" outlineLevel="0" collapsed="false">
      <c r="A17" s="21" t="s">
        <v>185</v>
      </c>
      <c r="B17" s="22" t="n">
        <v>141</v>
      </c>
      <c r="C17" s="5" t="s">
        <v>186</v>
      </c>
    </row>
    <row r="18" customFormat="false" ht="15" hidden="false" customHeight="false" outlineLevel="0" collapsed="false">
      <c r="A18" s="21" t="s">
        <v>187</v>
      </c>
      <c r="B18" s="22" t="n">
        <v>271</v>
      </c>
      <c r="C18" s="5" t="s">
        <v>188</v>
      </c>
    </row>
    <row r="19" customFormat="false" ht="15" hidden="false" customHeight="false" outlineLevel="0" collapsed="false">
      <c r="A19" s="21" t="s">
        <v>189</v>
      </c>
      <c r="B19" s="26" t="n">
        <v>3.16</v>
      </c>
      <c r="C19" s="5" t="s">
        <v>190</v>
      </c>
    </row>
    <row r="20" customFormat="false" ht="15" hidden="false" customHeight="false" outlineLevel="0" collapsed="false">
      <c r="A20" s="21" t="s">
        <v>191</v>
      </c>
      <c r="B20" s="26" t="n">
        <v>1</v>
      </c>
      <c r="C20" s="5" t="s">
        <v>192</v>
      </c>
    </row>
    <row r="21" customFormat="false" ht="15" hidden="false" customHeight="false" outlineLevel="0" collapsed="false">
      <c r="A21" s="21" t="s">
        <v>193</v>
      </c>
      <c r="B21" s="26" t="n">
        <v>1</v>
      </c>
      <c r="C21" s="5" t="s">
        <v>194</v>
      </c>
    </row>
    <row r="23" customFormat="false" ht="15" hidden="false" customHeight="false" outlineLevel="0" collapsed="false">
      <c r="A23" s="21" t="s">
        <v>195</v>
      </c>
      <c r="B23" s="25" t="n">
        <f aca="false">B15-B6</f>
        <v>6286</v>
      </c>
    </row>
    <row r="24" customFormat="false" ht="15" hidden="false" customHeight="false" outlineLevel="0" collapsed="false">
      <c r="A24" s="21" t="s">
        <v>196</v>
      </c>
      <c r="B24" s="25" t="n">
        <f aca="false">B16-B6</f>
        <v>2344</v>
      </c>
    </row>
    <row r="25" customFormat="false" ht="15" hidden="false" customHeight="false" outlineLevel="0" collapsed="false">
      <c r="A25" s="21" t="s">
        <v>197</v>
      </c>
      <c r="B25" s="25" t="n">
        <f aca="false">B23-B19*B17</f>
        <v>5840.44</v>
      </c>
      <c r="C25" s="5" t="s">
        <v>198</v>
      </c>
    </row>
    <row r="26" customFormat="false" ht="15" hidden="false" customHeight="false" outlineLevel="0" collapsed="false">
      <c r="A26" s="21" t="s">
        <v>199</v>
      </c>
      <c r="B26" s="25" t="n">
        <f aca="false">B24-B19*B18</f>
        <v>1487.64</v>
      </c>
    </row>
    <row r="28" customFormat="false" ht="15" hidden="false" customHeight="false" outlineLevel="0" collapsed="false">
      <c r="A28" s="20" t="s">
        <v>200</v>
      </c>
    </row>
    <row r="29" customFormat="false" ht="39.75" hidden="false" customHeight="true" outlineLevel="0" collapsed="false">
      <c r="A29" s="27" t="s">
        <v>201</v>
      </c>
      <c r="B29" s="27" t="s">
        <v>202</v>
      </c>
      <c r="C29" s="27" t="s">
        <v>203</v>
      </c>
      <c r="D29" s="27" t="s">
        <v>204</v>
      </c>
      <c r="E29" s="27" t="s">
        <v>205</v>
      </c>
      <c r="F29" s="27" t="s">
        <v>206</v>
      </c>
      <c r="G29" s="27" t="s">
        <v>207</v>
      </c>
      <c r="H29" s="27" t="s">
        <v>208</v>
      </c>
      <c r="I29" s="27" t="s">
        <v>209</v>
      </c>
      <c r="J29" s="27" t="s">
        <v>210</v>
      </c>
      <c r="K29" s="27" t="s">
        <v>211</v>
      </c>
    </row>
    <row r="30" customFormat="false" ht="15" hidden="false" customHeight="false" outlineLevel="0" collapsed="false">
      <c r="A30" s="28" t="s">
        <v>212</v>
      </c>
      <c r="B30" s="29" t="n">
        <v>1250</v>
      </c>
      <c r="C30" s="30" t="n">
        <v>30</v>
      </c>
      <c r="D30" s="31" t="n">
        <v>1</v>
      </c>
      <c r="E30" s="30" t="n">
        <v>110</v>
      </c>
      <c r="F30" s="32" t="n">
        <f aca="false">$B$8*$B$23*C30*D30*$B$20/1000</f>
        <v>2.26296</v>
      </c>
      <c r="G30" s="9" t="n">
        <f aca="false">F30/E30</f>
        <v>0.0205723636363636</v>
      </c>
      <c r="H30" s="9" t="n">
        <f aca="false">$B$8*$B$25*C30*D30*$B$20/1000/E30</f>
        <v>0.0191141672727273</v>
      </c>
      <c r="I30" s="32" t="n">
        <f aca="false">$B$9*$B$24*C30*D30*$B$21/1000</f>
        <v>24.612</v>
      </c>
      <c r="J30" s="9" t="n">
        <f aca="false">I30/E30</f>
        <v>0.223745454545455</v>
      </c>
      <c r="K30" s="9" t="n">
        <f aca="false">$B$9*$B$26*C30*D30*$B$21/1000/E30</f>
        <v>0.142002</v>
      </c>
    </row>
    <row r="31" customFormat="false" ht="15" hidden="false" customHeight="false" outlineLevel="0" collapsed="false">
      <c r="A31" s="28" t="s">
        <v>213</v>
      </c>
      <c r="B31" s="29" t="n">
        <v>1250</v>
      </c>
      <c r="C31" s="30" t="n">
        <v>30</v>
      </c>
      <c r="D31" s="31" t="n">
        <v>1.5</v>
      </c>
      <c r="E31" s="30" t="n">
        <v>330</v>
      </c>
      <c r="F31" s="32" t="n">
        <f aca="false">$B$8*$B$23*C31*D31*$B$20/1000</f>
        <v>3.39444</v>
      </c>
      <c r="G31" s="9" t="n">
        <f aca="false">F31/E31</f>
        <v>0.0102861818181818</v>
      </c>
      <c r="H31" s="9" t="n">
        <f aca="false">$B$8*$B$25*C31*D31*$B$20/1000/E31</f>
        <v>0.00955708363636364</v>
      </c>
      <c r="I31" s="32" t="n">
        <f aca="false">$B$9*$B$24*C31*D31*$B$21/1000</f>
        <v>36.918</v>
      </c>
      <c r="J31" s="9" t="n">
        <f aca="false">I31/E31</f>
        <v>0.111872727272727</v>
      </c>
      <c r="K31" s="9" t="n">
        <f aca="false">$B$9*$B$26*C31*D31*$B$21/1000/E31</f>
        <v>0.071001</v>
      </c>
    </row>
    <row r="32" customFormat="false" ht="15" hidden="false" customHeight="false" outlineLevel="0" collapsed="false">
      <c r="A32" s="28" t="s">
        <v>214</v>
      </c>
      <c r="B32" s="29" t="n">
        <v>7000</v>
      </c>
      <c r="C32" s="30" t="n">
        <v>182</v>
      </c>
      <c r="D32" s="31" t="n">
        <v>1</v>
      </c>
      <c r="E32" s="30" t="n">
        <v>450</v>
      </c>
      <c r="F32" s="32" t="n">
        <f aca="false">$B$8*$B$23*C32*D32*$B$20/1000</f>
        <v>13.728624</v>
      </c>
      <c r="G32" s="9" t="n">
        <f aca="false">F32/E32</f>
        <v>0.0305080533333333</v>
      </c>
      <c r="H32" s="33" t="s">
        <v>215</v>
      </c>
      <c r="I32" s="32" t="n">
        <f aca="false">$B$9*$B$24*C32*D32*$B$21/1000</f>
        <v>149.3128</v>
      </c>
      <c r="J32" s="9" t="n">
        <f aca="false">I32/E32</f>
        <v>0.331806222222222</v>
      </c>
      <c r="K32" s="33" t="s">
        <v>215</v>
      </c>
    </row>
    <row r="33" customFormat="false" ht="15" hidden="false" customHeight="false" outlineLevel="0" collapsed="false">
      <c r="A33" s="28" t="s">
        <v>216</v>
      </c>
      <c r="B33" s="29" t="n">
        <v>7000</v>
      </c>
      <c r="C33" s="30" t="n">
        <v>182</v>
      </c>
      <c r="D33" s="31" t="n">
        <v>2.9</v>
      </c>
      <c r="E33" s="30" t="n">
        <v>2200</v>
      </c>
      <c r="F33" s="32" t="n">
        <f aca="false">$B$8*$B$23*C33*D33*$B$20/1000</f>
        <v>39.8130096</v>
      </c>
      <c r="G33" s="9" t="n">
        <f aca="false">F33/E33</f>
        <v>0.0180968225454545</v>
      </c>
      <c r="H33" s="33" t="s">
        <v>215</v>
      </c>
      <c r="I33" s="32" t="n">
        <f aca="false">$B$9*$B$24*C33*D33*$B$21/1000</f>
        <v>433.00712</v>
      </c>
      <c r="J33" s="9" t="n">
        <f aca="false">I33/E33</f>
        <v>0.196821418181818</v>
      </c>
      <c r="K33" s="33" t="s">
        <v>215</v>
      </c>
    </row>
    <row r="36" customFormat="false" ht="15" hidden="false" customHeight="false" outlineLevel="0" collapsed="false">
      <c r="A36" s="20" t="s">
        <v>217</v>
      </c>
    </row>
    <row r="37" customFormat="false" ht="15" hidden="false" customHeight="false" outlineLevel="0" collapsed="false">
      <c r="A37" s="21" t="s">
        <v>218</v>
      </c>
      <c r="G37" s="34" t="n">
        <f aca="false">B8*B23/B6</f>
        <v>0.0967076923076923</v>
      </c>
      <c r="J37" s="34" t="n">
        <f aca="false">B9*B24/B6</f>
        <v>1.05179487179487</v>
      </c>
    </row>
    <row r="38" customFormat="false" ht="15" hidden="false" customHeight="false" outlineLevel="0" collapsed="false">
      <c r="A38" s="21" t="s">
        <v>219</v>
      </c>
      <c r="C38" s="5" t="s">
        <v>220</v>
      </c>
      <c r="G38" s="34" t="n">
        <f aca="false">B7*G37</f>
        <v>0.0278518153846154</v>
      </c>
      <c r="H38" s="34" t="n">
        <f aca="false">B7*B8*B25/B6</f>
        <v>0.0258776418461538</v>
      </c>
      <c r="J38" s="34" t="n">
        <f aca="false">B7*J37</f>
        <v>0.302916923076923</v>
      </c>
      <c r="K38" s="34" t="n">
        <f aca="false">B7*B9*B26/B6</f>
        <v>0.192248861538462</v>
      </c>
    </row>
    <row r="40" customFormat="false" ht="33" hidden="false" customHeight="true" outlineLevel="0" collapsed="false">
      <c r="A40" s="35" t="s">
        <v>221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</row>
    <row r="41" customFormat="false" ht="24" hidden="false" customHeight="true" outlineLevel="0" collapsed="false">
      <c r="A41" s="35" t="s">
        <v>222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customFormat="false" ht="24" hidden="false" customHeight="true" outlineLevel="0" collapsed="false">
      <c r="A42" s="35" t="s">
        <v>223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</row>
    <row r="43" customFormat="false" ht="24" hidden="false" customHeight="true" outlineLevel="0" collapsed="false">
      <c r="A43" s="35" t="s">
        <v>224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</row>
    <row r="44" customFormat="false" ht="24" hidden="false" customHeight="true" outlineLevel="0" collapsed="false">
      <c r="A44" s="35" t="s">
        <v>225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</row>
    <row r="45" customFormat="false" ht="24" hidden="false" customHeight="true" outlineLevel="0" collapsed="false">
      <c r="A45" s="35" t="s">
        <v>226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</row>
  </sheetData>
  <mergeCells count="6">
    <mergeCell ref="A40:K40"/>
    <mergeCell ref="A41:K41"/>
    <mergeCell ref="A42:K42"/>
    <mergeCell ref="A43:K43"/>
    <mergeCell ref="A44:K44"/>
    <mergeCell ref="A45:K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5" topLeftCell="D16" activePane="bottomRight" state="frozen"/>
      <selection pane="topLeft" activeCell="A1" activeCellId="0" sqref="A1"/>
      <selection pane="topRight" activeCell="D1" activeCellId="0" sqref="D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4" min="10" style="0" width="9"/>
    <col collapsed="false" customWidth="true" hidden="false" outlineLevel="0" max="15" min="15" style="0" width="8"/>
    <col collapsed="false" customWidth="true" hidden="false" outlineLevel="0" max="17" min="16" style="0" width="11"/>
    <col collapsed="false" customWidth="true" hidden="false" outlineLevel="0" max="18" min="18" style="0" width="10"/>
    <col collapsed="false" customWidth="true" hidden="false" outlineLevel="0" max="19" min="19" style="0" width="12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2" t="s">
        <v>228</v>
      </c>
    </row>
    <row r="3" customFormat="false" ht="15" hidden="false" customHeight="false" outlineLevel="0" collapsed="false">
      <c r="A3" s="2" t="s">
        <v>229</v>
      </c>
    </row>
    <row r="5" customFormat="false" ht="15" hidden="false" customHeight="false" outlineLevel="0" collapsed="false">
      <c r="A5" s="36" t="s">
        <v>230</v>
      </c>
    </row>
    <row r="6" customFormat="false" ht="30" hidden="false" customHeight="true" outlineLevel="0" collapsed="false">
      <c r="A6" s="27" t="s">
        <v>231</v>
      </c>
      <c r="B6" s="27" t="s">
        <v>232</v>
      </c>
      <c r="C6" s="27" t="s">
        <v>233</v>
      </c>
      <c r="D6" s="27" t="s">
        <v>234</v>
      </c>
      <c r="E6" s="27" t="s">
        <v>235</v>
      </c>
      <c r="F6" s="27" t="s">
        <v>236</v>
      </c>
      <c r="G6" s="27" t="s">
        <v>237</v>
      </c>
      <c r="H6" s="27" t="s">
        <v>238</v>
      </c>
      <c r="I6" s="27" t="s">
        <v>24</v>
      </c>
      <c r="J6" s="27" t="s">
        <v>239</v>
      </c>
    </row>
    <row r="7" customFormat="false" ht="15" hidden="false" customHeight="false" outlineLevel="0" collapsed="false">
      <c r="A7" s="7" t="s">
        <v>146</v>
      </c>
      <c r="B7" s="7" t="n">
        <v>2030</v>
      </c>
      <c r="C7" s="7" t="s">
        <v>240</v>
      </c>
      <c r="D7" s="7" t="n">
        <v>24.72</v>
      </c>
      <c r="E7" s="7" t="n">
        <v>37.24</v>
      </c>
      <c r="F7" s="7" t="n">
        <v>178</v>
      </c>
      <c r="G7" s="7" t="s">
        <v>241</v>
      </c>
      <c r="H7" s="8" t="n">
        <v>7241</v>
      </c>
      <c r="I7" s="9" t="n">
        <v>0.087</v>
      </c>
      <c r="J7" s="7" t="s">
        <v>242</v>
      </c>
    </row>
    <row r="8" customFormat="false" ht="15" hidden="false" customHeight="false" outlineLevel="0" collapsed="false">
      <c r="A8" s="7" t="s">
        <v>151</v>
      </c>
      <c r="B8" s="7" t="n">
        <v>2030</v>
      </c>
      <c r="C8" s="7" t="s">
        <v>243</v>
      </c>
      <c r="D8" s="7" t="n">
        <v>23.59</v>
      </c>
      <c r="E8" s="7" t="n">
        <v>51.82</v>
      </c>
      <c r="F8" s="7" t="n">
        <v>490</v>
      </c>
      <c r="G8" s="7" t="s">
        <v>241</v>
      </c>
      <c r="H8" s="8" t="n">
        <v>6982</v>
      </c>
      <c r="I8" s="9" t="n">
        <v>0.08</v>
      </c>
      <c r="J8" s="7" t="s">
        <v>244</v>
      </c>
    </row>
    <row r="9" customFormat="false" ht="15" hidden="false" customHeight="false" outlineLevel="0" collapsed="false">
      <c r="A9" s="7" t="s">
        <v>155</v>
      </c>
      <c r="B9" s="7" t="n">
        <v>2030</v>
      </c>
      <c r="C9" s="7" t="s">
        <v>245</v>
      </c>
      <c r="D9" s="7" t="n">
        <v>23.47</v>
      </c>
      <c r="E9" s="7" t="n">
        <v>-16.07</v>
      </c>
      <c r="F9" s="7" t="n">
        <v>40</v>
      </c>
      <c r="G9" s="7" t="s">
        <v>246</v>
      </c>
      <c r="H9" s="8" t="n">
        <v>7523</v>
      </c>
      <c r="I9" s="9" t="n">
        <v>0.1</v>
      </c>
      <c r="J9" s="7" t="s">
        <v>247</v>
      </c>
    </row>
    <row r="10" customFormat="false" ht="15" hidden="false" customHeight="false" outlineLevel="0" collapsed="false">
      <c r="A10" s="7" t="s">
        <v>146</v>
      </c>
      <c r="B10" s="7" t="n">
        <v>2050</v>
      </c>
      <c r="C10" s="7" t="s">
        <v>240</v>
      </c>
      <c r="D10" s="7" t="n">
        <v>24.72</v>
      </c>
      <c r="E10" s="7" t="n">
        <v>37.24</v>
      </c>
      <c r="F10" s="7" t="n">
        <v>178</v>
      </c>
      <c r="G10" s="7" t="s">
        <v>248</v>
      </c>
      <c r="H10" s="8" t="n">
        <v>3083</v>
      </c>
      <c r="I10" s="9" t="n">
        <v>0.087</v>
      </c>
      <c r="J10" s="7" t="s">
        <v>249</v>
      </c>
    </row>
    <row r="11" customFormat="false" ht="15" hidden="false" customHeight="false" outlineLevel="0" collapsed="false">
      <c r="A11" s="7" t="s">
        <v>151</v>
      </c>
      <c r="B11" s="7" t="n">
        <v>2050</v>
      </c>
      <c r="C11" s="7" t="s">
        <v>243</v>
      </c>
      <c r="D11" s="7" t="n">
        <v>23.59</v>
      </c>
      <c r="E11" s="7" t="n">
        <v>51.82</v>
      </c>
      <c r="F11" s="7" t="n">
        <v>490</v>
      </c>
      <c r="G11" s="7" t="s">
        <v>241</v>
      </c>
      <c r="H11" s="8" t="n">
        <v>2979</v>
      </c>
      <c r="I11" s="9" t="n">
        <v>0.08</v>
      </c>
      <c r="J11" s="7" t="s">
        <v>250</v>
      </c>
    </row>
    <row r="12" customFormat="false" ht="15" hidden="false" customHeight="false" outlineLevel="0" collapsed="false">
      <c r="A12" s="7" t="s">
        <v>155</v>
      </c>
      <c r="B12" s="7" t="n">
        <v>2050</v>
      </c>
      <c r="C12" s="7" t="s">
        <v>245</v>
      </c>
      <c r="D12" s="7" t="n">
        <v>23.47</v>
      </c>
      <c r="E12" s="7" t="n">
        <v>-16.07</v>
      </c>
      <c r="F12" s="7" t="n">
        <v>40</v>
      </c>
      <c r="G12" s="7" t="s">
        <v>248</v>
      </c>
      <c r="H12" s="8" t="n">
        <v>3148</v>
      </c>
      <c r="I12" s="9" t="n">
        <v>0.1</v>
      </c>
      <c r="J12" s="7" t="s">
        <v>251</v>
      </c>
    </row>
    <row r="14" customFormat="false" ht="15" hidden="false" customHeight="false" outlineLevel="0" collapsed="false">
      <c r="A14" s="36" t="s">
        <v>252</v>
      </c>
    </row>
    <row r="15" customFormat="false" ht="39.75" hidden="false" customHeight="true" outlineLevel="0" collapsed="false">
      <c r="A15" s="27" t="s">
        <v>4</v>
      </c>
      <c r="B15" s="27" t="s">
        <v>232</v>
      </c>
      <c r="C15" s="27" t="s">
        <v>231</v>
      </c>
      <c r="D15" s="27" t="s">
        <v>253</v>
      </c>
      <c r="E15" s="27" t="s">
        <v>254</v>
      </c>
      <c r="F15" s="27" t="s">
        <v>255</v>
      </c>
      <c r="G15" s="27" t="s">
        <v>256</v>
      </c>
      <c r="H15" s="27" t="s">
        <v>257</v>
      </c>
      <c r="I15" s="27" t="s">
        <v>258</v>
      </c>
      <c r="J15" s="27" t="s">
        <v>259</v>
      </c>
      <c r="K15" s="27" t="s">
        <v>260</v>
      </c>
      <c r="L15" s="27" t="s">
        <v>261</v>
      </c>
      <c r="M15" s="27" t="s">
        <v>262</v>
      </c>
      <c r="N15" s="27" t="s">
        <v>263</v>
      </c>
      <c r="O15" s="27" t="s">
        <v>264</v>
      </c>
      <c r="P15" s="27" t="s">
        <v>265</v>
      </c>
      <c r="Q15" s="27" t="s">
        <v>266</v>
      </c>
      <c r="R15" s="27" t="s">
        <v>267</v>
      </c>
      <c r="S15" s="27" t="s">
        <v>268</v>
      </c>
    </row>
    <row r="16" customFormat="false" ht="15" hidden="false" customHeight="false" outlineLevel="0" collapsed="false">
      <c r="A16" s="37" t="s">
        <v>86</v>
      </c>
      <c r="B16" s="37" t="n">
        <v>2030</v>
      </c>
      <c r="C16" s="37" t="s">
        <v>151</v>
      </c>
      <c r="D16" s="37" t="s">
        <v>243</v>
      </c>
      <c r="E16" s="37" t="s">
        <v>269</v>
      </c>
      <c r="F16" s="38" t="n">
        <v>4605</v>
      </c>
      <c r="G16" s="37" t="s">
        <v>270</v>
      </c>
      <c r="H16" s="37" t="s">
        <v>271</v>
      </c>
      <c r="I16" s="38" t="n">
        <v>6982.1</v>
      </c>
      <c r="J16" s="39" t="n">
        <v>50.5</v>
      </c>
      <c r="K16" s="39" t="n">
        <v>41.4</v>
      </c>
      <c r="L16" s="40" t="n">
        <v>2.92</v>
      </c>
      <c r="M16" s="41" t="n">
        <v>5</v>
      </c>
      <c r="N16" s="39" t="n">
        <v>43.2</v>
      </c>
      <c r="O16" s="40" t="n">
        <v>5.412</v>
      </c>
      <c r="P16" s="42" t="n">
        <f aca="false">SUM(I16:J16)+SUM(L16:O16)</f>
        <v>7089.132</v>
      </c>
      <c r="Q16" s="42" t="n">
        <v>7594.9</v>
      </c>
      <c r="R16" s="43" t="n">
        <f aca="false">IF(Q16="","",P16/Q16-1)</f>
        <v>-0.0665931085333578</v>
      </c>
      <c r="S16" s="44" t="s">
        <v>272</v>
      </c>
    </row>
    <row r="17" customFormat="false" ht="15" hidden="false" customHeight="false" outlineLevel="0" collapsed="false">
      <c r="A17" s="45" t="s">
        <v>86</v>
      </c>
      <c r="B17" s="45" t="n">
        <v>2030</v>
      </c>
      <c r="C17" s="45" t="s">
        <v>155</v>
      </c>
      <c r="D17" s="45" t="s">
        <v>245</v>
      </c>
      <c r="E17" s="45" t="s">
        <v>269</v>
      </c>
      <c r="F17" s="46" t="n">
        <v>2270</v>
      </c>
      <c r="G17" s="45" t="s">
        <v>273</v>
      </c>
      <c r="H17" s="45" t="s">
        <v>271</v>
      </c>
      <c r="I17" s="46" t="n">
        <v>7523</v>
      </c>
      <c r="J17" s="47" t="n">
        <v>18.8</v>
      </c>
      <c r="K17" s="47" t="n">
        <v>20.4</v>
      </c>
      <c r="L17" s="48" t="n">
        <v>1.44</v>
      </c>
      <c r="M17" s="49" t="n">
        <v>5</v>
      </c>
      <c r="N17" s="47" t="n">
        <v>43.2</v>
      </c>
      <c r="O17" s="48" t="n">
        <v>5.412</v>
      </c>
      <c r="P17" s="46" t="n">
        <f aca="false">SUM(I17:J17)+SUM(L17:O17)</f>
        <v>7596.852</v>
      </c>
      <c r="Q17" s="46" t="n">
        <v>7594.9</v>
      </c>
      <c r="R17" s="50" t="n">
        <f aca="false">IF(Q17="","",P17/Q17-1)</f>
        <v>0.00025701457557048</v>
      </c>
      <c r="S17" s="45"/>
    </row>
    <row r="18" customFormat="false" ht="15" hidden="false" customHeight="false" outlineLevel="0" collapsed="false">
      <c r="A18" s="37" t="s">
        <v>86</v>
      </c>
      <c r="B18" s="37" t="n">
        <v>2030</v>
      </c>
      <c r="C18" s="37" t="s">
        <v>146</v>
      </c>
      <c r="D18" s="37" t="s">
        <v>240</v>
      </c>
      <c r="E18" s="37" t="s">
        <v>269</v>
      </c>
      <c r="F18" s="38" t="n">
        <v>2236</v>
      </c>
      <c r="G18" s="37" t="s">
        <v>270</v>
      </c>
      <c r="H18" s="37" t="s">
        <v>271</v>
      </c>
      <c r="I18" s="38" t="n">
        <v>7241.5</v>
      </c>
      <c r="J18" s="39" t="n">
        <v>36.1</v>
      </c>
      <c r="K18" s="39" t="n">
        <v>20.1</v>
      </c>
      <c r="L18" s="40" t="n">
        <v>1.42</v>
      </c>
      <c r="M18" s="41" t="n">
        <v>5</v>
      </c>
      <c r="N18" s="39" t="n">
        <v>43.2</v>
      </c>
      <c r="O18" s="40" t="n">
        <v>5.412</v>
      </c>
      <c r="P18" s="38" t="n">
        <f aca="false">SUM(I18:J18)+SUM(L18:O18)</f>
        <v>7332.632</v>
      </c>
      <c r="Q18" s="38" t="n">
        <v>7594.9</v>
      </c>
      <c r="R18" s="51" t="n">
        <f aca="false">IF(Q18="","",P18/Q18-1)</f>
        <v>-0.034532120238581</v>
      </c>
      <c r="S18" s="37"/>
    </row>
    <row r="19" customFormat="false" ht="15" hidden="false" customHeight="false" outlineLevel="0" collapsed="false">
      <c r="A19" s="45" t="s">
        <v>86</v>
      </c>
      <c r="B19" s="45" t="n">
        <v>2050</v>
      </c>
      <c r="C19" s="45" t="s">
        <v>151</v>
      </c>
      <c r="D19" s="45" t="s">
        <v>243</v>
      </c>
      <c r="E19" s="45" t="s">
        <v>269</v>
      </c>
      <c r="F19" s="46" t="n">
        <v>4605</v>
      </c>
      <c r="G19" s="45" t="s">
        <v>270</v>
      </c>
      <c r="H19" s="45" t="s">
        <v>274</v>
      </c>
      <c r="I19" s="46" t="n">
        <v>2979.1</v>
      </c>
      <c r="J19" s="47" t="n">
        <v>22.1</v>
      </c>
      <c r="K19" s="47" t="n">
        <v>23</v>
      </c>
      <c r="L19" s="48" t="n">
        <v>3.12</v>
      </c>
      <c r="M19" s="49" t="n">
        <v>5</v>
      </c>
      <c r="N19" s="47" t="n">
        <v>43.2</v>
      </c>
      <c r="O19" s="48" t="n">
        <v>5.412</v>
      </c>
      <c r="P19" s="52" t="n">
        <f aca="false">SUM(I19:J19)+SUM(L19:O19)</f>
        <v>3057.932</v>
      </c>
      <c r="Q19" s="52" t="n">
        <v>3533.2</v>
      </c>
      <c r="R19" s="53" t="n">
        <f aca="false">IF(Q19="","",P19/Q19-1)</f>
        <v>-0.13451488735424</v>
      </c>
      <c r="S19" s="54" t="s">
        <v>272</v>
      </c>
    </row>
    <row r="20" customFormat="false" ht="15" hidden="false" customHeight="false" outlineLevel="0" collapsed="false">
      <c r="A20" s="37" t="s">
        <v>86</v>
      </c>
      <c r="B20" s="37" t="n">
        <v>2050</v>
      </c>
      <c r="C20" s="37" t="s">
        <v>155</v>
      </c>
      <c r="D20" s="37" t="s">
        <v>245</v>
      </c>
      <c r="E20" s="37" t="s">
        <v>269</v>
      </c>
      <c r="F20" s="38" t="n">
        <v>2270</v>
      </c>
      <c r="G20" s="37" t="s">
        <v>273</v>
      </c>
      <c r="H20" s="37" t="s">
        <v>274</v>
      </c>
      <c r="I20" s="38" t="n">
        <v>3148</v>
      </c>
      <c r="J20" s="39" t="n">
        <v>9</v>
      </c>
      <c r="K20" s="39" t="n">
        <v>11.3</v>
      </c>
      <c r="L20" s="40" t="n">
        <v>1.54</v>
      </c>
      <c r="M20" s="41" t="n">
        <v>5</v>
      </c>
      <c r="N20" s="39" t="n">
        <v>43.2</v>
      </c>
      <c r="O20" s="40" t="n">
        <v>5.412</v>
      </c>
      <c r="P20" s="38" t="n">
        <f aca="false">SUM(I20:J20)+SUM(L20:O20)</f>
        <v>3212.152</v>
      </c>
      <c r="Q20" s="38" t="n">
        <v>3533.2</v>
      </c>
      <c r="R20" s="51" t="n">
        <f aca="false">IF(Q20="","",P20/Q20-1)</f>
        <v>-0.0908660704177515</v>
      </c>
      <c r="S20" s="37"/>
    </row>
    <row r="21" customFormat="false" ht="15" hidden="false" customHeight="false" outlineLevel="0" collapsed="false">
      <c r="A21" s="45" t="s">
        <v>86</v>
      </c>
      <c r="B21" s="45" t="n">
        <v>2050</v>
      </c>
      <c r="C21" s="45" t="s">
        <v>146</v>
      </c>
      <c r="D21" s="45" t="s">
        <v>240</v>
      </c>
      <c r="E21" s="45" t="s">
        <v>269</v>
      </c>
      <c r="F21" s="46" t="n">
        <v>2236</v>
      </c>
      <c r="G21" s="45" t="s">
        <v>270</v>
      </c>
      <c r="H21" s="45" t="s">
        <v>274</v>
      </c>
      <c r="I21" s="46" t="n">
        <v>3083.1</v>
      </c>
      <c r="J21" s="47" t="n">
        <v>15.2</v>
      </c>
      <c r="K21" s="47" t="n">
        <v>11.2</v>
      </c>
      <c r="L21" s="48" t="n">
        <v>1.51</v>
      </c>
      <c r="M21" s="49" t="n">
        <v>5</v>
      </c>
      <c r="N21" s="47" t="n">
        <v>43.2</v>
      </c>
      <c r="O21" s="48" t="n">
        <v>5.412</v>
      </c>
      <c r="P21" s="46" t="n">
        <f aca="false">SUM(I21:J21)+SUM(L21:O21)</f>
        <v>3153.422</v>
      </c>
      <c r="Q21" s="46" t="n">
        <v>3533.2</v>
      </c>
      <c r="R21" s="50" t="n">
        <f aca="false">IF(Q21="","",P21/Q21-1)</f>
        <v>-0.10748839578852</v>
      </c>
      <c r="S21" s="45"/>
    </row>
    <row r="22" customFormat="false" ht="15" hidden="false" customHeight="false" outlineLevel="0" collapsed="false">
      <c r="A22" s="37" t="s">
        <v>71</v>
      </c>
      <c r="B22" s="37" t="n">
        <v>2030</v>
      </c>
      <c r="C22" s="37" t="s">
        <v>151</v>
      </c>
      <c r="D22" s="37" t="s">
        <v>243</v>
      </c>
      <c r="E22" s="37" t="s">
        <v>275</v>
      </c>
      <c r="F22" s="38" t="n">
        <v>6304</v>
      </c>
      <c r="G22" s="37" t="s">
        <v>270</v>
      </c>
      <c r="H22" s="37" t="s">
        <v>271</v>
      </c>
      <c r="I22" s="38" t="n">
        <v>6982.1</v>
      </c>
      <c r="J22" s="39" t="n">
        <v>60.8</v>
      </c>
      <c r="K22" s="39" t="n">
        <v>56.7</v>
      </c>
      <c r="L22" s="40" t="n">
        <v>4</v>
      </c>
      <c r="M22" s="41" t="n">
        <v>5</v>
      </c>
      <c r="N22" s="39" t="n">
        <v>12.6</v>
      </c>
      <c r="O22" s="40" t="n">
        <v>5.412</v>
      </c>
      <c r="P22" s="42" t="n">
        <f aca="false">SUM(I22:J22)+SUM(L22:O22)</f>
        <v>7069.912</v>
      </c>
      <c r="Q22" s="42" t="n">
        <v>7075.1</v>
      </c>
      <c r="R22" s="43" t="n">
        <f aca="false">IF(Q22="","",P22/Q22-1)</f>
        <v>-0.000733275854758242</v>
      </c>
      <c r="S22" s="44" t="s">
        <v>272</v>
      </c>
    </row>
    <row r="23" customFormat="false" ht="15" hidden="false" customHeight="false" outlineLevel="0" collapsed="false">
      <c r="A23" s="45" t="s">
        <v>71</v>
      </c>
      <c r="B23" s="45" t="n">
        <v>2030</v>
      </c>
      <c r="C23" s="45" t="s">
        <v>155</v>
      </c>
      <c r="D23" s="45" t="s">
        <v>245</v>
      </c>
      <c r="E23" s="45" t="s">
        <v>275</v>
      </c>
      <c r="F23" s="46" t="n">
        <v>1995</v>
      </c>
      <c r="G23" s="45" t="s">
        <v>273</v>
      </c>
      <c r="H23" s="45" t="s">
        <v>271</v>
      </c>
      <c r="I23" s="46" t="n">
        <v>7523</v>
      </c>
      <c r="J23" s="47" t="n">
        <v>17.2</v>
      </c>
      <c r="K23" s="47" t="n">
        <v>18</v>
      </c>
      <c r="L23" s="48" t="n">
        <v>1.27</v>
      </c>
      <c r="M23" s="49" t="n">
        <v>5</v>
      </c>
      <c r="N23" s="47" t="n">
        <v>12.6</v>
      </c>
      <c r="O23" s="48" t="n">
        <v>5.412</v>
      </c>
      <c r="P23" s="46" t="n">
        <f aca="false">SUM(I23:J23)+SUM(L23:O23)</f>
        <v>7564.482</v>
      </c>
      <c r="Q23" s="46" t="n">
        <v>7075.1</v>
      </c>
      <c r="R23" s="50" t="n">
        <f aca="false">IF(Q23="","",P23/Q23-1)</f>
        <v>0.0691696230441972</v>
      </c>
      <c r="S23" s="45"/>
    </row>
    <row r="24" customFormat="false" ht="15" hidden="false" customHeight="false" outlineLevel="0" collapsed="false">
      <c r="A24" s="37" t="s">
        <v>71</v>
      </c>
      <c r="B24" s="37" t="n">
        <v>2030</v>
      </c>
      <c r="C24" s="37" t="s">
        <v>146</v>
      </c>
      <c r="D24" s="37" t="s">
        <v>240</v>
      </c>
      <c r="E24" s="37" t="s">
        <v>275</v>
      </c>
      <c r="F24" s="38" t="n">
        <v>3934</v>
      </c>
      <c r="G24" s="37" t="s">
        <v>270</v>
      </c>
      <c r="H24" s="37" t="s">
        <v>271</v>
      </c>
      <c r="I24" s="38" t="n">
        <v>7241.5</v>
      </c>
      <c r="J24" s="39" t="n">
        <v>46.4</v>
      </c>
      <c r="K24" s="39" t="n">
        <v>35.4</v>
      </c>
      <c r="L24" s="40" t="n">
        <v>2.5</v>
      </c>
      <c r="M24" s="41" t="n">
        <v>5</v>
      </c>
      <c r="N24" s="39" t="n">
        <v>12.6</v>
      </c>
      <c r="O24" s="40" t="n">
        <v>5.412</v>
      </c>
      <c r="P24" s="38" t="n">
        <f aca="false">SUM(I24:J24)+SUM(L24:O24)</f>
        <v>7313.412</v>
      </c>
      <c r="Q24" s="38" t="n">
        <v>7075.1</v>
      </c>
      <c r="R24" s="51" t="n">
        <f aca="false">IF(Q24="","",P24/Q24-1)</f>
        <v>0.0336831988240447</v>
      </c>
      <c r="S24" s="37"/>
    </row>
    <row r="25" customFormat="false" ht="15" hidden="false" customHeight="false" outlineLevel="0" collapsed="false">
      <c r="A25" s="45" t="s">
        <v>71</v>
      </c>
      <c r="B25" s="45" t="n">
        <v>2050</v>
      </c>
      <c r="C25" s="45" t="s">
        <v>151</v>
      </c>
      <c r="D25" s="45" t="s">
        <v>243</v>
      </c>
      <c r="E25" s="45" t="s">
        <v>275</v>
      </c>
      <c r="F25" s="46" t="n">
        <v>6304</v>
      </c>
      <c r="G25" s="45" t="s">
        <v>270</v>
      </c>
      <c r="H25" s="45" t="s">
        <v>274</v>
      </c>
      <c r="I25" s="46" t="n">
        <v>2979.1</v>
      </c>
      <c r="J25" s="47" t="n">
        <v>27</v>
      </c>
      <c r="K25" s="47" t="n">
        <v>31.5</v>
      </c>
      <c r="L25" s="48" t="n">
        <v>4.27</v>
      </c>
      <c r="M25" s="49" t="n">
        <v>5</v>
      </c>
      <c r="N25" s="47" t="n">
        <v>12.6</v>
      </c>
      <c r="O25" s="48" t="n">
        <v>5.412</v>
      </c>
      <c r="P25" s="52" t="n">
        <f aca="false">SUM(I25:J25)+SUM(L25:O25)</f>
        <v>3033.382</v>
      </c>
      <c r="Q25" s="52" t="n">
        <v>3326.3</v>
      </c>
      <c r="R25" s="53" t="n">
        <f aca="false">IF(Q25="","",P25/Q25-1)</f>
        <v>-0.0880612091513093</v>
      </c>
      <c r="S25" s="54" t="s">
        <v>272</v>
      </c>
    </row>
    <row r="26" customFormat="false" ht="15" hidden="false" customHeight="false" outlineLevel="0" collapsed="false">
      <c r="A26" s="37" t="s">
        <v>71</v>
      </c>
      <c r="B26" s="37" t="n">
        <v>2050</v>
      </c>
      <c r="C26" s="37" t="s">
        <v>155</v>
      </c>
      <c r="D26" s="37" t="s">
        <v>245</v>
      </c>
      <c r="E26" s="37" t="s">
        <v>275</v>
      </c>
      <c r="F26" s="38" t="n">
        <v>1995</v>
      </c>
      <c r="G26" s="37" t="s">
        <v>273</v>
      </c>
      <c r="H26" s="37" t="s">
        <v>274</v>
      </c>
      <c r="I26" s="38" t="n">
        <v>3148</v>
      </c>
      <c r="J26" s="39" t="n">
        <v>8.2</v>
      </c>
      <c r="K26" s="39" t="n">
        <v>10</v>
      </c>
      <c r="L26" s="40" t="n">
        <v>1.35</v>
      </c>
      <c r="M26" s="41" t="n">
        <v>5</v>
      </c>
      <c r="N26" s="39" t="n">
        <v>12.6</v>
      </c>
      <c r="O26" s="40" t="n">
        <v>5.412</v>
      </c>
      <c r="P26" s="38" t="n">
        <f aca="false">SUM(I26:J26)+SUM(L26:O26)</f>
        <v>3180.562</v>
      </c>
      <c r="Q26" s="38" t="n">
        <v>3326.3</v>
      </c>
      <c r="R26" s="51" t="n">
        <f aca="false">IF(Q26="","",P26/Q26-1)</f>
        <v>-0.0438138472176293</v>
      </c>
      <c r="S26" s="37"/>
    </row>
    <row r="27" customFormat="false" ht="15" hidden="false" customHeight="false" outlineLevel="0" collapsed="false">
      <c r="A27" s="45" t="s">
        <v>71</v>
      </c>
      <c r="B27" s="45" t="n">
        <v>2050</v>
      </c>
      <c r="C27" s="45" t="s">
        <v>146</v>
      </c>
      <c r="D27" s="45" t="s">
        <v>240</v>
      </c>
      <c r="E27" s="45" t="s">
        <v>275</v>
      </c>
      <c r="F27" s="46" t="n">
        <v>3934</v>
      </c>
      <c r="G27" s="45" t="s">
        <v>270</v>
      </c>
      <c r="H27" s="45" t="s">
        <v>274</v>
      </c>
      <c r="I27" s="46" t="n">
        <v>3083.1</v>
      </c>
      <c r="J27" s="47" t="n">
        <v>20.1</v>
      </c>
      <c r="K27" s="47" t="n">
        <v>19.7</v>
      </c>
      <c r="L27" s="48" t="n">
        <v>2.67</v>
      </c>
      <c r="M27" s="49" t="n">
        <v>5</v>
      </c>
      <c r="N27" s="47" t="n">
        <v>12.6</v>
      </c>
      <c r="O27" s="48" t="n">
        <v>5.412</v>
      </c>
      <c r="P27" s="46" t="n">
        <f aca="false">SUM(I27:J27)+SUM(L27:O27)</f>
        <v>3128.882</v>
      </c>
      <c r="Q27" s="46" t="n">
        <v>3326.3</v>
      </c>
      <c r="R27" s="50" t="n">
        <f aca="false">IF(Q27="","",P27/Q27-1)</f>
        <v>-0.0593506298289392</v>
      </c>
      <c r="S27" s="45"/>
    </row>
    <row r="28" customFormat="false" ht="15" hidden="false" customHeight="false" outlineLevel="0" collapsed="false">
      <c r="A28" s="37" t="s">
        <v>118</v>
      </c>
      <c r="B28" s="37" t="n">
        <v>2030</v>
      </c>
      <c r="C28" s="37" t="s">
        <v>151</v>
      </c>
      <c r="D28" s="37" t="s">
        <v>243</v>
      </c>
      <c r="E28" s="37" t="s">
        <v>276</v>
      </c>
      <c r="F28" s="38" t="n">
        <v>3842</v>
      </c>
      <c r="G28" s="37" t="s">
        <v>270</v>
      </c>
      <c r="H28" s="37" t="s">
        <v>271</v>
      </c>
      <c r="I28" s="38" t="n">
        <v>6982.1</v>
      </c>
      <c r="J28" s="39" t="n">
        <v>45.9</v>
      </c>
      <c r="K28" s="39" t="n">
        <v>34.6</v>
      </c>
      <c r="L28" s="40" t="n">
        <v>2.44</v>
      </c>
      <c r="M28" s="41" t="n">
        <v>5</v>
      </c>
      <c r="N28" s="39" t="n">
        <v>46.6</v>
      </c>
      <c r="O28" s="40" t="n">
        <v>5.412</v>
      </c>
      <c r="P28" s="42" t="n">
        <f aca="false">SUM(I28:J28)+SUM(L28:O28)</f>
        <v>7087.452</v>
      </c>
      <c r="Q28" s="42" t="n">
        <v>13007.7</v>
      </c>
      <c r="R28" s="43" t="n">
        <f aca="false">IF(Q28="","",P28/Q28-1)</f>
        <v>-0.455134112871607</v>
      </c>
      <c r="S28" s="44" t="s">
        <v>272</v>
      </c>
    </row>
    <row r="29" customFormat="false" ht="15" hidden="false" customHeight="false" outlineLevel="0" collapsed="false">
      <c r="A29" s="45" t="s">
        <v>118</v>
      </c>
      <c r="B29" s="45" t="n">
        <v>2030</v>
      </c>
      <c r="C29" s="45" t="s">
        <v>155</v>
      </c>
      <c r="D29" s="45" t="s">
        <v>245</v>
      </c>
      <c r="E29" s="45" t="s">
        <v>276</v>
      </c>
      <c r="F29" s="46" t="n">
        <v>2887</v>
      </c>
      <c r="G29" s="45" t="s">
        <v>273</v>
      </c>
      <c r="H29" s="45" t="s">
        <v>271</v>
      </c>
      <c r="I29" s="46" t="n">
        <v>7523</v>
      </c>
      <c r="J29" s="47" t="n">
        <v>22.6</v>
      </c>
      <c r="K29" s="47" t="n">
        <v>26</v>
      </c>
      <c r="L29" s="48" t="n">
        <v>1.83</v>
      </c>
      <c r="M29" s="49" t="n">
        <v>5</v>
      </c>
      <c r="N29" s="47" t="n">
        <v>46.6</v>
      </c>
      <c r="O29" s="48" t="n">
        <v>5.412</v>
      </c>
      <c r="P29" s="46" t="n">
        <f aca="false">SUM(I29:J29)+SUM(L29:O29)</f>
        <v>7604.442</v>
      </c>
      <c r="Q29" s="46" t="n">
        <v>13007.7</v>
      </c>
      <c r="R29" s="50" t="n">
        <f aca="false">IF(Q29="","",P29/Q29-1)</f>
        <v>-0.415389192555179</v>
      </c>
      <c r="S29" s="45"/>
    </row>
    <row r="30" customFormat="false" ht="15" hidden="false" customHeight="false" outlineLevel="0" collapsed="false">
      <c r="A30" s="37" t="s">
        <v>118</v>
      </c>
      <c r="B30" s="37" t="n">
        <v>2030</v>
      </c>
      <c r="C30" s="37" t="s">
        <v>146</v>
      </c>
      <c r="D30" s="37" t="s">
        <v>240</v>
      </c>
      <c r="E30" s="37" t="s">
        <v>276</v>
      </c>
      <c r="F30" s="38" t="n">
        <v>1472</v>
      </c>
      <c r="G30" s="37" t="s">
        <v>270</v>
      </c>
      <c r="H30" s="37" t="s">
        <v>271</v>
      </c>
      <c r="I30" s="38" t="n">
        <v>7241.5</v>
      </c>
      <c r="J30" s="39" t="n">
        <v>31.5</v>
      </c>
      <c r="K30" s="39" t="n">
        <v>13.2</v>
      </c>
      <c r="L30" s="40" t="n">
        <v>0.93</v>
      </c>
      <c r="M30" s="41" t="n">
        <v>5</v>
      </c>
      <c r="N30" s="39" t="n">
        <v>46.6</v>
      </c>
      <c r="O30" s="40" t="n">
        <v>5.412</v>
      </c>
      <c r="P30" s="38" t="n">
        <f aca="false">SUM(I30:J30)+SUM(L30:O30)</f>
        <v>7330.942</v>
      </c>
      <c r="Q30" s="38" t="n">
        <v>13007.7</v>
      </c>
      <c r="R30" s="51" t="n">
        <f aca="false">IF(Q30="","",P30/Q30-1)</f>
        <v>-0.436415200227558</v>
      </c>
      <c r="S30" s="37"/>
    </row>
    <row r="31" customFormat="false" ht="15" hidden="false" customHeight="false" outlineLevel="0" collapsed="false">
      <c r="A31" s="45" t="s">
        <v>118</v>
      </c>
      <c r="B31" s="45" t="n">
        <v>2050</v>
      </c>
      <c r="C31" s="45" t="s">
        <v>151</v>
      </c>
      <c r="D31" s="45" t="s">
        <v>243</v>
      </c>
      <c r="E31" s="45" t="s">
        <v>276</v>
      </c>
      <c r="F31" s="46" t="n">
        <v>3842</v>
      </c>
      <c r="G31" s="45" t="s">
        <v>270</v>
      </c>
      <c r="H31" s="45" t="s">
        <v>274</v>
      </c>
      <c r="I31" s="46" t="n">
        <v>2979.1</v>
      </c>
      <c r="J31" s="47" t="n">
        <v>19.9</v>
      </c>
      <c r="K31" s="47" t="n">
        <v>19.2</v>
      </c>
      <c r="L31" s="48" t="n">
        <v>2.6</v>
      </c>
      <c r="M31" s="49" t="n">
        <v>5</v>
      </c>
      <c r="N31" s="47" t="n">
        <v>46.6</v>
      </c>
      <c r="O31" s="48" t="n">
        <v>5.412</v>
      </c>
      <c r="P31" s="52" t="n">
        <f aca="false">SUM(I31:J31)+SUM(L31:O31)</f>
        <v>3058.612</v>
      </c>
      <c r="Q31" s="52" t="n">
        <v>4998.6</v>
      </c>
      <c r="R31" s="53" t="n">
        <f aca="false">IF(Q31="","",P31/Q31-1)</f>
        <v>-0.388106269755532</v>
      </c>
      <c r="S31" s="54" t="s">
        <v>272</v>
      </c>
    </row>
    <row r="32" customFormat="false" ht="15" hidden="false" customHeight="false" outlineLevel="0" collapsed="false">
      <c r="A32" s="37" t="s">
        <v>118</v>
      </c>
      <c r="B32" s="37" t="n">
        <v>2050</v>
      </c>
      <c r="C32" s="37" t="s">
        <v>155</v>
      </c>
      <c r="D32" s="37" t="s">
        <v>245</v>
      </c>
      <c r="E32" s="37" t="s">
        <v>276</v>
      </c>
      <c r="F32" s="38" t="n">
        <v>2887</v>
      </c>
      <c r="G32" s="37" t="s">
        <v>273</v>
      </c>
      <c r="H32" s="37" t="s">
        <v>274</v>
      </c>
      <c r="I32" s="38" t="n">
        <v>3148</v>
      </c>
      <c r="J32" s="39" t="n">
        <v>10.8</v>
      </c>
      <c r="K32" s="39" t="n">
        <v>14.4</v>
      </c>
      <c r="L32" s="40" t="n">
        <v>1.96</v>
      </c>
      <c r="M32" s="41" t="n">
        <v>5</v>
      </c>
      <c r="N32" s="39" t="n">
        <v>46.6</v>
      </c>
      <c r="O32" s="40" t="n">
        <v>5.412</v>
      </c>
      <c r="P32" s="38" t="n">
        <f aca="false">SUM(I32:J32)+SUM(L32:O32)</f>
        <v>3217.772</v>
      </c>
      <c r="Q32" s="38" t="n">
        <v>4998.6</v>
      </c>
      <c r="R32" s="51" t="n">
        <f aca="false">IF(Q32="","",P32/Q32-1)</f>
        <v>-0.356265354299204</v>
      </c>
      <c r="S32" s="37"/>
    </row>
    <row r="33" customFormat="false" ht="15" hidden="false" customHeight="false" outlineLevel="0" collapsed="false">
      <c r="A33" s="45" t="s">
        <v>118</v>
      </c>
      <c r="B33" s="45" t="n">
        <v>2050</v>
      </c>
      <c r="C33" s="45" t="s">
        <v>146</v>
      </c>
      <c r="D33" s="45" t="s">
        <v>240</v>
      </c>
      <c r="E33" s="45" t="s">
        <v>276</v>
      </c>
      <c r="F33" s="46" t="n">
        <v>1472</v>
      </c>
      <c r="G33" s="45" t="s">
        <v>270</v>
      </c>
      <c r="H33" s="45" t="s">
        <v>274</v>
      </c>
      <c r="I33" s="46" t="n">
        <v>3083.1</v>
      </c>
      <c r="J33" s="47" t="n">
        <v>13</v>
      </c>
      <c r="K33" s="47" t="n">
        <v>7.4</v>
      </c>
      <c r="L33" s="48" t="n">
        <v>1</v>
      </c>
      <c r="M33" s="49" t="n">
        <v>5</v>
      </c>
      <c r="N33" s="47" t="n">
        <v>46.6</v>
      </c>
      <c r="O33" s="48" t="n">
        <v>5.412</v>
      </c>
      <c r="P33" s="46" t="n">
        <f aca="false">SUM(I33:J33)+SUM(L33:O33)</f>
        <v>3154.112</v>
      </c>
      <c r="Q33" s="46" t="n">
        <v>4998.6</v>
      </c>
      <c r="R33" s="50" t="n">
        <f aca="false">IF(Q33="","",P33/Q33-1)</f>
        <v>-0.369000920257672</v>
      </c>
      <c r="S33" s="45"/>
    </row>
    <row r="34" customFormat="false" ht="15" hidden="false" customHeight="false" outlineLevel="0" collapsed="false">
      <c r="A34" s="37" t="s">
        <v>55</v>
      </c>
      <c r="B34" s="37" t="n">
        <v>2030</v>
      </c>
      <c r="C34" s="37" t="s">
        <v>151</v>
      </c>
      <c r="D34" s="37" t="s">
        <v>243</v>
      </c>
      <c r="E34" s="37" t="s">
        <v>277</v>
      </c>
      <c r="F34" s="38" t="n">
        <v>4646</v>
      </c>
      <c r="G34" s="37" t="s">
        <v>270</v>
      </c>
      <c r="H34" s="37" t="s">
        <v>271</v>
      </c>
      <c r="I34" s="38" t="n">
        <v>6982.1</v>
      </c>
      <c r="J34" s="39" t="n">
        <v>50.7</v>
      </c>
      <c r="K34" s="39" t="n">
        <v>41.8</v>
      </c>
      <c r="L34" s="40" t="n">
        <v>2.95</v>
      </c>
      <c r="M34" s="41" t="n">
        <v>5</v>
      </c>
      <c r="N34" s="39" t="n">
        <v>42.4</v>
      </c>
      <c r="O34" s="40" t="n">
        <v>5.412</v>
      </c>
      <c r="P34" s="42" t="n">
        <f aca="false">SUM(I34:J34)+SUM(L34:O34)</f>
        <v>7088.562</v>
      </c>
      <c r="Q34" s="42" t="n">
        <v>6969.2</v>
      </c>
      <c r="R34" s="43" t="n">
        <f aca="false">IF(Q34="","",P34/Q34-1)</f>
        <v>0.0171270734087126</v>
      </c>
      <c r="S34" s="44" t="s">
        <v>278</v>
      </c>
    </row>
    <row r="35" customFormat="false" ht="15" hidden="false" customHeight="false" outlineLevel="0" collapsed="false">
      <c r="A35" s="45" t="s">
        <v>55</v>
      </c>
      <c r="B35" s="45" t="n">
        <v>2030</v>
      </c>
      <c r="C35" s="45" t="s">
        <v>155</v>
      </c>
      <c r="D35" s="45" t="s">
        <v>245</v>
      </c>
      <c r="E35" s="45" t="s">
        <v>277</v>
      </c>
      <c r="F35" s="46" t="n">
        <v>2033</v>
      </c>
      <c r="G35" s="45" t="s">
        <v>273</v>
      </c>
      <c r="H35" s="45" t="s">
        <v>271</v>
      </c>
      <c r="I35" s="46" t="n">
        <v>7523</v>
      </c>
      <c r="J35" s="47" t="n">
        <v>17.4</v>
      </c>
      <c r="K35" s="47" t="n">
        <v>18.3</v>
      </c>
      <c r="L35" s="48" t="n">
        <v>1.29</v>
      </c>
      <c r="M35" s="49" t="n">
        <v>5</v>
      </c>
      <c r="N35" s="47" t="n">
        <v>42.4</v>
      </c>
      <c r="O35" s="48" t="n">
        <v>5.412</v>
      </c>
      <c r="P35" s="46" t="n">
        <f aca="false">SUM(I35:J35)+SUM(L35:O35)</f>
        <v>7594.502</v>
      </c>
      <c r="Q35" s="46" t="n">
        <v>6969.2</v>
      </c>
      <c r="R35" s="50" t="n">
        <f aca="false">IF(Q35="","",P35/Q35-1)</f>
        <v>0.0897236411639786</v>
      </c>
      <c r="S35" s="45"/>
    </row>
    <row r="36" customFormat="false" ht="15" hidden="false" customHeight="false" outlineLevel="0" collapsed="false">
      <c r="A36" s="37" t="s">
        <v>55</v>
      </c>
      <c r="B36" s="37" t="n">
        <v>2030</v>
      </c>
      <c r="C36" s="37" t="s">
        <v>146</v>
      </c>
      <c r="D36" s="37" t="s">
        <v>240</v>
      </c>
      <c r="E36" s="37" t="s">
        <v>277</v>
      </c>
      <c r="F36" s="38" t="n">
        <v>2276</v>
      </c>
      <c r="G36" s="37" t="s">
        <v>270</v>
      </c>
      <c r="H36" s="37" t="s">
        <v>271</v>
      </c>
      <c r="I36" s="38" t="n">
        <v>7241.5</v>
      </c>
      <c r="J36" s="39" t="n">
        <v>36.4</v>
      </c>
      <c r="K36" s="39" t="n">
        <v>20.5</v>
      </c>
      <c r="L36" s="40" t="n">
        <v>1.44</v>
      </c>
      <c r="M36" s="41" t="n">
        <v>5</v>
      </c>
      <c r="N36" s="39" t="n">
        <v>42.4</v>
      </c>
      <c r="O36" s="40" t="n">
        <v>5.412</v>
      </c>
      <c r="P36" s="38" t="n">
        <f aca="false">SUM(I36:J36)+SUM(L36:O36)</f>
        <v>7332.152</v>
      </c>
      <c r="Q36" s="38" t="n">
        <v>6969.2</v>
      </c>
      <c r="R36" s="51" t="n">
        <f aca="false">IF(Q36="","",P36/Q36-1)</f>
        <v>0.0520794352292946</v>
      </c>
      <c r="S36" s="37"/>
    </row>
    <row r="37" customFormat="false" ht="15" hidden="false" customHeight="false" outlineLevel="0" collapsed="false">
      <c r="A37" s="45" t="s">
        <v>55</v>
      </c>
      <c r="B37" s="45" t="n">
        <v>2050</v>
      </c>
      <c r="C37" s="45" t="s">
        <v>151</v>
      </c>
      <c r="D37" s="45" t="s">
        <v>243</v>
      </c>
      <c r="E37" s="45" t="s">
        <v>277</v>
      </c>
      <c r="F37" s="46" t="n">
        <v>4646</v>
      </c>
      <c r="G37" s="45" t="s">
        <v>270</v>
      </c>
      <c r="H37" s="45" t="s">
        <v>274</v>
      </c>
      <c r="I37" s="46" t="n">
        <v>2979.1</v>
      </c>
      <c r="J37" s="47" t="n">
        <v>22.2</v>
      </c>
      <c r="K37" s="47" t="n">
        <v>23.2</v>
      </c>
      <c r="L37" s="48" t="n">
        <v>3.15</v>
      </c>
      <c r="M37" s="49" t="n">
        <v>5</v>
      </c>
      <c r="N37" s="47" t="n">
        <v>42.4</v>
      </c>
      <c r="O37" s="48" t="n">
        <v>5.412</v>
      </c>
      <c r="P37" s="52" t="n">
        <f aca="false">SUM(I37:J37)+SUM(L37:O37)</f>
        <v>3057.262</v>
      </c>
      <c r="Q37" s="52" t="n">
        <v>3165.7</v>
      </c>
      <c r="R37" s="53" t="n">
        <f aca="false">IF(Q37="","",P37/Q37-1)</f>
        <v>-0.0342540354423982</v>
      </c>
      <c r="S37" s="54" t="s">
        <v>272</v>
      </c>
    </row>
    <row r="38" customFormat="false" ht="15" hidden="false" customHeight="false" outlineLevel="0" collapsed="false">
      <c r="A38" s="37" t="s">
        <v>55</v>
      </c>
      <c r="B38" s="37" t="n">
        <v>2050</v>
      </c>
      <c r="C38" s="37" t="s">
        <v>155</v>
      </c>
      <c r="D38" s="37" t="s">
        <v>245</v>
      </c>
      <c r="E38" s="37" t="s">
        <v>277</v>
      </c>
      <c r="F38" s="38" t="n">
        <v>2033</v>
      </c>
      <c r="G38" s="37" t="s">
        <v>273</v>
      </c>
      <c r="H38" s="37" t="s">
        <v>274</v>
      </c>
      <c r="I38" s="38" t="n">
        <v>3148</v>
      </c>
      <c r="J38" s="39" t="n">
        <v>8.3</v>
      </c>
      <c r="K38" s="39" t="n">
        <v>10.2</v>
      </c>
      <c r="L38" s="40" t="n">
        <v>1.38</v>
      </c>
      <c r="M38" s="41" t="n">
        <v>5</v>
      </c>
      <c r="N38" s="39" t="n">
        <v>42.4</v>
      </c>
      <c r="O38" s="40" t="n">
        <v>5.412</v>
      </c>
      <c r="P38" s="38" t="n">
        <f aca="false">SUM(I38:J38)+SUM(L38:O38)</f>
        <v>3210.492</v>
      </c>
      <c r="Q38" s="38" t="n">
        <v>3165.7</v>
      </c>
      <c r="R38" s="51" t="n">
        <f aca="false">IF(Q38="","",P38/Q38-1)</f>
        <v>0.0141491613229303</v>
      </c>
      <c r="S38" s="37"/>
    </row>
    <row r="39" customFormat="false" ht="15" hidden="false" customHeight="false" outlineLevel="0" collapsed="false">
      <c r="A39" s="45" t="s">
        <v>55</v>
      </c>
      <c r="B39" s="45" t="n">
        <v>2050</v>
      </c>
      <c r="C39" s="45" t="s">
        <v>146</v>
      </c>
      <c r="D39" s="45" t="s">
        <v>240</v>
      </c>
      <c r="E39" s="45" t="s">
        <v>277</v>
      </c>
      <c r="F39" s="46" t="n">
        <v>2276</v>
      </c>
      <c r="G39" s="45" t="s">
        <v>270</v>
      </c>
      <c r="H39" s="45" t="s">
        <v>274</v>
      </c>
      <c r="I39" s="46" t="n">
        <v>3083.1</v>
      </c>
      <c r="J39" s="47" t="n">
        <v>15.3</v>
      </c>
      <c r="K39" s="47" t="n">
        <v>11.4</v>
      </c>
      <c r="L39" s="48" t="n">
        <v>1.54</v>
      </c>
      <c r="M39" s="49" t="n">
        <v>5</v>
      </c>
      <c r="N39" s="47" t="n">
        <v>42.4</v>
      </c>
      <c r="O39" s="48" t="n">
        <v>5.412</v>
      </c>
      <c r="P39" s="46" t="n">
        <f aca="false">SUM(I39:J39)+SUM(L39:O39)</f>
        <v>3152.752</v>
      </c>
      <c r="Q39" s="46" t="n">
        <v>3165.7</v>
      </c>
      <c r="R39" s="50" t="n">
        <f aca="false">IF(Q39="","",P39/Q39-1)</f>
        <v>-0.00409009065925381</v>
      </c>
      <c r="S39" s="45"/>
    </row>
    <row r="40" customFormat="false" ht="15" hidden="false" customHeight="false" outlineLevel="0" collapsed="false">
      <c r="A40" s="37" t="s">
        <v>98</v>
      </c>
      <c r="B40" s="37" t="n">
        <v>2030</v>
      </c>
      <c r="C40" s="37" t="s">
        <v>151</v>
      </c>
      <c r="D40" s="37" t="s">
        <v>243</v>
      </c>
      <c r="E40" s="37" t="s">
        <v>279</v>
      </c>
      <c r="F40" s="38" t="n">
        <v>3230</v>
      </c>
      <c r="G40" s="37" t="s">
        <v>270</v>
      </c>
      <c r="H40" s="37" t="s">
        <v>271</v>
      </c>
      <c r="I40" s="38" t="n">
        <v>6982.1</v>
      </c>
      <c r="J40" s="39" t="n">
        <v>42.2</v>
      </c>
      <c r="K40" s="39" t="n">
        <v>29.1</v>
      </c>
      <c r="L40" s="40" t="n">
        <v>2.05</v>
      </c>
      <c r="M40" s="41" t="n">
        <v>5</v>
      </c>
      <c r="N40" s="39" t="n">
        <v>0.6</v>
      </c>
      <c r="O40" s="40" t="n">
        <v>5.412</v>
      </c>
      <c r="P40" s="42" t="n">
        <f aca="false">SUM(I40:J40)+SUM(L40:O40)</f>
        <v>7037.362</v>
      </c>
      <c r="Q40" s="42" t="n">
        <v>10956.1</v>
      </c>
      <c r="R40" s="43" t="n">
        <f aca="false">IF(Q40="","",P40/Q40-1)</f>
        <v>-0.357676362939367</v>
      </c>
      <c r="S40" s="44" t="s">
        <v>272</v>
      </c>
    </row>
    <row r="41" customFormat="false" ht="15" hidden="false" customHeight="false" outlineLevel="0" collapsed="false">
      <c r="A41" s="45" t="s">
        <v>98</v>
      </c>
      <c r="B41" s="45" t="n">
        <v>2030</v>
      </c>
      <c r="C41" s="45" t="s">
        <v>155</v>
      </c>
      <c r="D41" s="45" t="s">
        <v>245</v>
      </c>
      <c r="E41" s="45" t="s">
        <v>279</v>
      </c>
      <c r="F41" s="46" t="n">
        <v>2950</v>
      </c>
      <c r="G41" s="45" t="s">
        <v>273</v>
      </c>
      <c r="H41" s="45" t="s">
        <v>271</v>
      </c>
      <c r="I41" s="46" t="n">
        <v>7523</v>
      </c>
      <c r="J41" s="47" t="n">
        <v>23</v>
      </c>
      <c r="K41" s="47" t="n">
        <v>26.6</v>
      </c>
      <c r="L41" s="48" t="n">
        <v>1.87</v>
      </c>
      <c r="M41" s="49" t="n">
        <v>5</v>
      </c>
      <c r="N41" s="47" t="n">
        <v>0.6</v>
      </c>
      <c r="O41" s="48" t="n">
        <v>5.412</v>
      </c>
      <c r="P41" s="46" t="n">
        <f aca="false">SUM(I41:J41)+SUM(L41:O41)</f>
        <v>7558.882</v>
      </c>
      <c r="Q41" s="46" t="n">
        <v>10956.1</v>
      </c>
      <c r="R41" s="50" t="n">
        <f aca="false">IF(Q41="","",P41/Q41-1)</f>
        <v>-0.310075483064229</v>
      </c>
      <c r="S41" s="45"/>
    </row>
    <row r="42" customFormat="false" ht="15" hidden="false" customHeight="false" outlineLevel="0" collapsed="false">
      <c r="A42" s="37" t="s">
        <v>98</v>
      </c>
      <c r="B42" s="37" t="n">
        <v>2030</v>
      </c>
      <c r="C42" s="37" t="s">
        <v>146</v>
      </c>
      <c r="D42" s="37" t="s">
        <v>240</v>
      </c>
      <c r="E42" s="37" t="s">
        <v>279</v>
      </c>
      <c r="F42" s="38" t="n">
        <v>860</v>
      </c>
      <c r="G42" s="37" t="s">
        <v>270</v>
      </c>
      <c r="H42" s="37" t="s">
        <v>271</v>
      </c>
      <c r="I42" s="38" t="n">
        <v>7241.5</v>
      </c>
      <c r="J42" s="39" t="n">
        <v>27.8</v>
      </c>
      <c r="K42" s="39" t="n">
        <v>7.7</v>
      </c>
      <c r="L42" s="40" t="n">
        <v>0.55</v>
      </c>
      <c r="M42" s="41" t="n">
        <v>5</v>
      </c>
      <c r="N42" s="39" t="n">
        <v>0.6</v>
      </c>
      <c r="O42" s="40" t="n">
        <v>5.412</v>
      </c>
      <c r="P42" s="38" t="n">
        <f aca="false">SUM(I42:J42)+SUM(L42:O42)</f>
        <v>7280.862</v>
      </c>
      <c r="Q42" s="38" t="n">
        <v>10956.1</v>
      </c>
      <c r="R42" s="51" t="n">
        <f aca="false">IF(Q42="","",P42/Q42-1)</f>
        <v>-0.335451301101669</v>
      </c>
      <c r="S42" s="37"/>
    </row>
    <row r="43" customFormat="false" ht="15" hidden="false" customHeight="false" outlineLevel="0" collapsed="false">
      <c r="A43" s="45" t="s">
        <v>98</v>
      </c>
      <c r="B43" s="45" t="n">
        <v>2050</v>
      </c>
      <c r="C43" s="45" t="s">
        <v>151</v>
      </c>
      <c r="D43" s="45" t="s">
        <v>243</v>
      </c>
      <c r="E43" s="45" t="s">
        <v>279</v>
      </c>
      <c r="F43" s="46" t="n">
        <v>3230</v>
      </c>
      <c r="G43" s="45" t="s">
        <v>270</v>
      </c>
      <c r="H43" s="45" t="s">
        <v>274</v>
      </c>
      <c r="I43" s="46" t="n">
        <v>2979.1</v>
      </c>
      <c r="J43" s="47" t="n">
        <v>18.1</v>
      </c>
      <c r="K43" s="47" t="n">
        <v>16.1</v>
      </c>
      <c r="L43" s="48" t="n">
        <v>2.19</v>
      </c>
      <c r="M43" s="49" t="n">
        <v>5</v>
      </c>
      <c r="N43" s="47" t="n">
        <v>0.6</v>
      </c>
      <c r="O43" s="48" t="n">
        <v>5.412</v>
      </c>
      <c r="P43" s="52" t="n">
        <f aca="false">SUM(I43:J43)+SUM(L43:O43)</f>
        <v>3010.402</v>
      </c>
      <c r="Q43" s="52" t="n">
        <v>3658.4</v>
      </c>
      <c r="R43" s="53" t="n">
        <f aca="false">IF(Q43="","",P43/Q43-1)</f>
        <v>-0.177126066039799</v>
      </c>
      <c r="S43" s="54" t="s">
        <v>272</v>
      </c>
    </row>
    <row r="44" customFormat="false" ht="15" hidden="false" customHeight="false" outlineLevel="0" collapsed="false">
      <c r="A44" s="37" t="s">
        <v>98</v>
      </c>
      <c r="B44" s="37" t="n">
        <v>2050</v>
      </c>
      <c r="C44" s="37" t="s">
        <v>155</v>
      </c>
      <c r="D44" s="37" t="s">
        <v>245</v>
      </c>
      <c r="E44" s="37" t="s">
        <v>279</v>
      </c>
      <c r="F44" s="38" t="n">
        <v>2950</v>
      </c>
      <c r="G44" s="37" t="s">
        <v>273</v>
      </c>
      <c r="H44" s="37" t="s">
        <v>274</v>
      </c>
      <c r="I44" s="38" t="n">
        <v>3148</v>
      </c>
      <c r="J44" s="39" t="n">
        <v>10.9</v>
      </c>
      <c r="K44" s="39" t="n">
        <v>14.8</v>
      </c>
      <c r="L44" s="40" t="n">
        <v>2</v>
      </c>
      <c r="M44" s="41" t="n">
        <v>5</v>
      </c>
      <c r="N44" s="39" t="n">
        <v>0.6</v>
      </c>
      <c r="O44" s="40" t="n">
        <v>5.412</v>
      </c>
      <c r="P44" s="38" t="n">
        <f aca="false">SUM(I44:J44)+SUM(L44:O44)</f>
        <v>3171.912</v>
      </c>
      <c r="Q44" s="38" t="n">
        <v>3658.4</v>
      </c>
      <c r="R44" s="51" t="n">
        <f aca="false">IF(Q44="","",P44/Q44-1)</f>
        <v>-0.132978351191778</v>
      </c>
      <c r="S44" s="37"/>
    </row>
    <row r="45" customFormat="false" ht="15" hidden="false" customHeight="false" outlineLevel="0" collapsed="false">
      <c r="A45" s="45" t="s">
        <v>98</v>
      </c>
      <c r="B45" s="45" t="n">
        <v>2050</v>
      </c>
      <c r="C45" s="45" t="s">
        <v>146</v>
      </c>
      <c r="D45" s="45" t="s">
        <v>240</v>
      </c>
      <c r="E45" s="45" t="s">
        <v>279</v>
      </c>
      <c r="F45" s="46" t="n">
        <v>860</v>
      </c>
      <c r="G45" s="45" t="s">
        <v>270</v>
      </c>
      <c r="H45" s="45" t="s">
        <v>274</v>
      </c>
      <c r="I45" s="46" t="n">
        <v>3083.1</v>
      </c>
      <c r="J45" s="47" t="n">
        <v>11.2</v>
      </c>
      <c r="K45" s="47" t="n">
        <v>4.3</v>
      </c>
      <c r="L45" s="48" t="n">
        <v>0.58</v>
      </c>
      <c r="M45" s="49" t="n">
        <v>5</v>
      </c>
      <c r="N45" s="47" t="n">
        <v>0.6</v>
      </c>
      <c r="O45" s="48" t="n">
        <v>5.412</v>
      </c>
      <c r="P45" s="46" t="n">
        <f aca="false">SUM(I45:J45)+SUM(L45:O45)</f>
        <v>3105.892</v>
      </c>
      <c r="Q45" s="46" t="n">
        <v>3658.4</v>
      </c>
      <c r="R45" s="50" t="n">
        <f aca="false">IF(Q45="","",P45/Q45-1)</f>
        <v>-0.151024491581019</v>
      </c>
      <c r="S45" s="45"/>
    </row>
    <row r="46" customFormat="false" ht="15" hidden="false" customHeight="false" outlineLevel="0" collapsed="false">
      <c r="A46" s="37" t="s">
        <v>110</v>
      </c>
      <c r="B46" s="37" t="n">
        <v>2030</v>
      </c>
      <c r="C46" s="37" t="s">
        <v>151</v>
      </c>
      <c r="D46" s="37" t="s">
        <v>243</v>
      </c>
      <c r="E46" s="37" t="s">
        <v>280</v>
      </c>
      <c r="F46" s="38" t="n">
        <v>7111</v>
      </c>
      <c r="G46" s="37" t="s">
        <v>270</v>
      </c>
      <c r="H46" s="37" t="s">
        <v>271</v>
      </c>
      <c r="I46" s="38" t="n">
        <v>6982.1</v>
      </c>
      <c r="J46" s="39" t="n">
        <v>65.7</v>
      </c>
      <c r="K46" s="39" t="n">
        <v>64</v>
      </c>
      <c r="L46" s="40" t="n">
        <v>4.51</v>
      </c>
      <c r="M46" s="41" t="n">
        <v>5</v>
      </c>
      <c r="N46" s="39" t="n">
        <v>45.9</v>
      </c>
      <c r="O46" s="40" t="n">
        <v>5.412</v>
      </c>
      <c r="P46" s="42" t="n">
        <f aca="false">SUM(I46:J46)+SUM(L46:O46)</f>
        <v>7108.622</v>
      </c>
      <c r="Q46" s="42" t="n">
        <v>8763.4</v>
      </c>
      <c r="R46" s="43" t="n">
        <f aca="false">IF(Q46="","",P46/Q46-1)</f>
        <v>-0.188828308647329</v>
      </c>
      <c r="S46" s="44" t="s">
        <v>272</v>
      </c>
    </row>
    <row r="47" customFormat="false" ht="15" hidden="false" customHeight="false" outlineLevel="0" collapsed="false">
      <c r="A47" s="45" t="s">
        <v>110</v>
      </c>
      <c r="B47" s="45" t="n">
        <v>2030</v>
      </c>
      <c r="C47" s="45" t="s">
        <v>155</v>
      </c>
      <c r="D47" s="45" t="s">
        <v>245</v>
      </c>
      <c r="E47" s="45" t="s">
        <v>280</v>
      </c>
      <c r="F47" s="46" t="n">
        <v>2803</v>
      </c>
      <c r="G47" s="45" t="s">
        <v>273</v>
      </c>
      <c r="H47" s="45" t="s">
        <v>271</v>
      </c>
      <c r="I47" s="46" t="n">
        <v>7523</v>
      </c>
      <c r="J47" s="47" t="n">
        <v>22.1</v>
      </c>
      <c r="K47" s="47" t="n">
        <v>25.2</v>
      </c>
      <c r="L47" s="48" t="n">
        <v>1.78</v>
      </c>
      <c r="M47" s="49" t="n">
        <v>5</v>
      </c>
      <c r="N47" s="47" t="n">
        <v>45.9</v>
      </c>
      <c r="O47" s="48" t="n">
        <v>5.412</v>
      </c>
      <c r="P47" s="46" t="n">
        <f aca="false">SUM(I47:J47)+SUM(L47:O47)</f>
        <v>7603.192</v>
      </c>
      <c r="Q47" s="46" t="n">
        <v>8763.4</v>
      </c>
      <c r="R47" s="50" t="n">
        <f aca="false">IF(Q47="","",P47/Q47-1)</f>
        <v>-0.132392450418787</v>
      </c>
      <c r="S47" s="45"/>
    </row>
    <row r="48" customFormat="false" ht="15" hidden="false" customHeight="false" outlineLevel="0" collapsed="false">
      <c r="A48" s="37" t="s">
        <v>110</v>
      </c>
      <c r="B48" s="37" t="n">
        <v>2030</v>
      </c>
      <c r="C48" s="37" t="s">
        <v>146</v>
      </c>
      <c r="D48" s="37" t="s">
        <v>240</v>
      </c>
      <c r="E48" s="37" t="s">
        <v>280</v>
      </c>
      <c r="F48" s="38" t="n">
        <v>4742</v>
      </c>
      <c r="G48" s="37" t="s">
        <v>270</v>
      </c>
      <c r="H48" s="37" t="s">
        <v>271</v>
      </c>
      <c r="I48" s="38" t="n">
        <v>7241.5</v>
      </c>
      <c r="J48" s="39" t="n">
        <v>51.3</v>
      </c>
      <c r="K48" s="39" t="n">
        <v>42.7</v>
      </c>
      <c r="L48" s="40" t="n">
        <v>3.01</v>
      </c>
      <c r="M48" s="41" t="n">
        <v>5</v>
      </c>
      <c r="N48" s="39" t="n">
        <v>45.9</v>
      </c>
      <c r="O48" s="40" t="n">
        <v>5.412</v>
      </c>
      <c r="P48" s="38" t="n">
        <f aca="false">SUM(I48:J48)+SUM(L48:O48)</f>
        <v>7352.122</v>
      </c>
      <c r="Q48" s="38" t="n">
        <v>8763.4</v>
      </c>
      <c r="R48" s="51" t="n">
        <f aca="false">IF(Q48="","",P48/Q48-1)</f>
        <v>-0.161042289522331</v>
      </c>
      <c r="S48" s="37"/>
    </row>
    <row r="49" customFormat="false" ht="15" hidden="false" customHeight="false" outlineLevel="0" collapsed="false">
      <c r="A49" s="45" t="s">
        <v>110</v>
      </c>
      <c r="B49" s="45" t="n">
        <v>2050</v>
      </c>
      <c r="C49" s="45" t="s">
        <v>151</v>
      </c>
      <c r="D49" s="45" t="s">
        <v>243</v>
      </c>
      <c r="E49" s="45" t="s">
        <v>280</v>
      </c>
      <c r="F49" s="46" t="n">
        <v>7111</v>
      </c>
      <c r="G49" s="45" t="s">
        <v>270</v>
      </c>
      <c r="H49" s="45" t="s">
        <v>274</v>
      </c>
      <c r="I49" s="46" t="n">
        <v>2979.1</v>
      </c>
      <c r="J49" s="47" t="n">
        <v>29.4</v>
      </c>
      <c r="K49" s="47" t="n">
        <v>35.6</v>
      </c>
      <c r="L49" s="48" t="n">
        <v>4.82</v>
      </c>
      <c r="M49" s="49" t="n">
        <v>5</v>
      </c>
      <c r="N49" s="47" t="n">
        <v>45.9</v>
      </c>
      <c r="O49" s="48" t="n">
        <v>5.412</v>
      </c>
      <c r="P49" s="52" t="n">
        <f aca="false">SUM(I49:J49)+SUM(L49:O49)</f>
        <v>3069.632</v>
      </c>
      <c r="Q49" s="52" t="n">
        <v>3891.3</v>
      </c>
      <c r="R49" s="53" t="n">
        <f aca="false">IF(Q49="","",P49/Q49-1)</f>
        <v>-0.211155140955465</v>
      </c>
      <c r="S49" s="54" t="s">
        <v>272</v>
      </c>
    </row>
    <row r="50" customFormat="false" ht="15" hidden="false" customHeight="false" outlineLevel="0" collapsed="false">
      <c r="A50" s="37" t="s">
        <v>110</v>
      </c>
      <c r="B50" s="37" t="n">
        <v>2050</v>
      </c>
      <c r="C50" s="37" t="s">
        <v>155</v>
      </c>
      <c r="D50" s="37" t="s">
        <v>245</v>
      </c>
      <c r="E50" s="37" t="s">
        <v>280</v>
      </c>
      <c r="F50" s="38" t="n">
        <v>2803</v>
      </c>
      <c r="G50" s="37" t="s">
        <v>273</v>
      </c>
      <c r="H50" s="37" t="s">
        <v>274</v>
      </c>
      <c r="I50" s="38" t="n">
        <v>3148</v>
      </c>
      <c r="J50" s="39" t="n">
        <v>10.5</v>
      </c>
      <c r="K50" s="39" t="n">
        <v>14</v>
      </c>
      <c r="L50" s="40" t="n">
        <v>1.9</v>
      </c>
      <c r="M50" s="41" t="n">
        <v>5</v>
      </c>
      <c r="N50" s="39" t="n">
        <v>45.9</v>
      </c>
      <c r="O50" s="40" t="n">
        <v>5.412</v>
      </c>
      <c r="P50" s="38" t="n">
        <f aca="false">SUM(I50:J50)+SUM(L50:O50)</f>
        <v>3216.712</v>
      </c>
      <c r="Q50" s="38" t="n">
        <v>3891.3</v>
      </c>
      <c r="R50" s="51" t="n">
        <f aca="false">IF(Q50="","",P50/Q50-1)</f>
        <v>-0.17335800375196</v>
      </c>
      <c r="S50" s="37"/>
    </row>
    <row r="51" customFormat="false" ht="15" hidden="false" customHeight="false" outlineLevel="0" collapsed="false">
      <c r="A51" s="45" t="s">
        <v>110</v>
      </c>
      <c r="B51" s="45" t="n">
        <v>2050</v>
      </c>
      <c r="C51" s="45" t="s">
        <v>146</v>
      </c>
      <c r="D51" s="45" t="s">
        <v>240</v>
      </c>
      <c r="E51" s="45" t="s">
        <v>280</v>
      </c>
      <c r="F51" s="46" t="n">
        <v>4742</v>
      </c>
      <c r="G51" s="45" t="s">
        <v>270</v>
      </c>
      <c r="H51" s="45" t="s">
        <v>274</v>
      </c>
      <c r="I51" s="46" t="n">
        <v>3083.1</v>
      </c>
      <c r="J51" s="47" t="n">
        <v>22.5</v>
      </c>
      <c r="K51" s="47" t="n">
        <v>23.7</v>
      </c>
      <c r="L51" s="48" t="n">
        <v>3.21</v>
      </c>
      <c r="M51" s="49" t="n">
        <v>5</v>
      </c>
      <c r="N51" s="47" t="n">
        <v>45.9</v>
      </c>
      <c r="O51" s="48" t="n">
        <v>5.412</v>
      </c>
      <c r="P51" s="46" t="n">
        <f aca="false">SUM(I51:J51)+SUM(L51:O51)</f>
        <v>3165.122</v>
      </c>
      <c r="Q51" s="46" t="n">
        <v>3891.3</v>
      </c>
      <c r="R51" s="50" t="n">
        <f aca="false">IF(Q51="","",P51/Q51-1)</f>
        <v>-0.18661578392825</v>
      </c>
      <c r="S51" s="45"/>
    </row>
    <row r="52" customFormat="false" ht="15" hidden="false" customHeight="false" outlineLevel="0" collapsed="false">
      <c r="A52" s="37" t="s">
        <v>43</v>
      </c>
      <c r="B52" s="37" t="n">
        <v>2030</v>
      </c>
      <c r="C52" s="37" t="s">
        <v>151</v>
      </c>
      <c r="D52" s="37" t="s">
        <v>243</v>
      </c>
      <c r="E52" s="37" t="s">
        <v>281</v>
      </c>
      <c r="F52" s="38" t="n">
        <v>6528</v>
      </c>
      <c r="G52" s="37" t="s">
        <v>270</v>
      </c>
      <c r="H52" s="37" t="s">
        <v>271</v>
      </c>
      <c r="I52" s="38" t="n">
        <v>6982.1</v>
      </c>
      <c r="J52" s="39" t="n">
        <v>62.2</v>
      </c>
      <c r="K52" s="39" t="n">
        <v>58.7</v>
      </c>
      <c r="L52" s="40" t="n">
        <v>4.14</v>
      </c>
      <c r="M52" s="41" t="n">
        <v>5</v>
      </c>
      <c r="N52" s="39" t="n">
        <v>47</v>
      </c>
      <c r="O52" s="40" t="n">
        <v>5.412</v>
      </c>
      <c r="P52" s="42" t="n">
        <f aca="false">SUM(I52:J52)+SUM(L52:O52)</f>
        <v>7105.852</v>
      </c>
      <c r="Q52" s="42" t="n">
        <v>6060.8</v>
      </c>
      <c r="R52" s="43" t="n">
        <f aca="false">IF(Q52="","",P52/Q52-1)</f>
        <v>0.172428062302006</v>
      </c>
      <c r="S52" s="44" t="s">
        <v>278</v>
      </c>
    </row>
    <row r="53" customFormat="false" ht="15" hidden="false" customHeight="false" outlineLevel="0" collapsed="false">
      <c r="A53" s="45" t="s">
        <v>43</v>
      </c>
      <c r="B53" s="45" t="n">
        <v>2030</v>
      </c>
      <c r="C53" s="45" t="s">
        <v>155</v>
      </c>
      <c r="D53" s="45" t="s">
        <v>245</v>
      </c>
      <c r="E53" s="45" t="s">
        <v>281</v>
      </c>
      <c r="F53" s="46" t="n">
        <v>2219</v>
      </c>
      <c r="G53" s="45" t="s">
        <v>273</v>
      </c>
      <c r="H53" s="45" t="s">
        <v>271</v>
      </c>
      <c r="I53" s="46" t="n">
        <v>7523</v>
      </c>
      <c r="J53" s="47" t="n">
        <v>18.5</v>
      </c>
      <c r="K53" s="47" t="n">
        <v>20</v>
      </c>
      <c r="L53" s="48" t="n">
        <v>1.41</v>
      </c>
      <c r="M53" s="49" t="n">
        <v>5</v>
      </c>
      <c r="N53" s="47" t="n">
        <v>47</v>
      </c>
      <c r="O53" s="48" t="n">
        <v>5.412</v>
      </c>
      <c r="P53" s="46" t="n">
        <f aca="false">SUM(I53:J53)+SUM(L53:O53)</f>
        <v>7600.322</v>
      </c>
      <c r="Q53" s="46" t="n">
        <v>6060.8</v>
      </c>
      <c r="R53" s="50" t="n">
        <f aca="false">IF(Q53="","",P53/Q53-1)</f>
        <v>0.254013001583949</v>
      </c>
      <c r="S53" s="45"/>
    </row>
    <row r="54" customFormat="false" ht="15" hidden="false" customHeight="false" outlineLevel="0" collapsed="false">
      <c r="A54" s="37" t="s">
        <v>43</v>
      </c>
      <c r="B54" s="37" t="n">
        <v>2030</v>
      </c>
      <c r="C54" s="37" t="s">
        <v>146</v>
      </c>
      <c r="D54" s="37" t="s">
        <v>240</v>
      </c>
      <c r="E54" s="37" t="s">
        <v>281</v>
      </c>
      <c r="F54" s="38" t="n">
        <v>4158</v>
      </c>
      <c r="G54" s="37" t="s">
        <v>270</v>
      </c>
      <c r="H54" s="37" t="s">
        <v>271</v>
      </c>
      <c r="I54" s="38" t="n">
        <v>7241.5</v>
      </c>
      <c r="J54" s="39" t="n">
        <v>47.8</v>
      </c>
      <c r="K54" s="39" t="n">
        <v>37.4</v>
      </c>
      <c r="L54" s="40" t="n">
        <v>2.64</v>
      </c>
      <c r="M54" s="41" t="n">
        <v>5</v>
      </c>
      <c r="N54" s="39" t="n">
        <v>47</v>
      </c>
      <c r="O54" s="40" t="n">
        <v>5.412</v>
      </c>
      <c r="P54" s="38" t="n">
        <f aca="false">SUM(I54:J54)+SUM(L54:O54)</f>
        <v>7349.352</v>
      </c>
      <c r="Q54" s="38" t="n">
        <v>6060.8</v>
      </c>
      <c r="R54" s="51" t="n">
        <f aca="false">IF(Q54="","",P54/Q54-1)</f>
        <v>0.212604276663147</v>
      </c>
      <c r="S54" s="37"/>
    </row>
    <row r="55" customFormat="false" ht="15" hidden="false" customHeight="false" outlineLevel="0" collapsed="false">
      <c r="A55" s="45" t="s">
        <v>43</v>
      </c>
      <c r="B55" s="45" t="n">
        <v>2050</v>
      </c>
      <c r="C55" s="45" t="s">
        <v>151</v>
      </c>
      <c r="D55" s="45" t="s">
        <v>243</v>
      </c>
      <c r="E55" s="45" t="s">
        <v>281</v>
      </c>
      <c r="F55" s="46" t="n">
        <v>6528</v>
      </c>
      <c r="G55" s="45" t="s">
        <v>270</v>
      </c>
      <c r="H55" s="45" t="s">
        <v>274</v>
      </c>
      <c r="I55" s="46" t="n">
        <v>2979.1</v>
      </c>
      <c r="J55" s="47" t="n">
        <v>27.7</v>
      </c>
      <c r="K55" s="47" t="n">
        <v>32.6</v>
      </c>
      <c r="L55" s="48" t="n">
        <v>4.42</v>
      </c>
      <c r="M55" s="49" t="n">
        <v>5</v>
      </c>
      <c r="N55" s="47" t="n">
        <v>47</v>
      </c>
      <c r="O55" s="48" t="n">
        <v>5.412</v>
      </c>
      <c r="P55" s="52" t="n">
        <f aca="false">SUM(I55:J55)+SUM(L55:O55)</f>
        <v>3068.632</v>
      </c>
      <c r="Q55" s="52" t="n">
        <v>2989.9</v>
      </c>
      <c r="R55" s="53" t="n">
        <f aca="false">IF(Q55="","",P55/Q55-1)</f>
        <v>0.0263326532659953</v>
      </c>
      <c r="S55" s="54" t="s">
        <v>278</v>
      </c>
    </row>
    <row r="56" customFormat="false" ht="15" hidden="false" customHeight="false" outlineLevel="0" collapsed="false">
      <c r="A56" s="37" t="s">
        <v>43</v>
      </c>
      <c r="B56" s="37" t="n">
        <v>2050</v>
      </c>
      <c r="C56" s="37" t="s">
        <v>155</v>
      </c>
      <c r="D56" s="37" t="s">
        <v>245</v>
      </c>
      <c r="E56" s="37" t="s">
        <v>281</v>
      </c>
      <c r="F56" s="38" t="n">
        <v>2219</v>
      </c>
      <c r="G56" s="37" t="s">
        <v>273</v>
      </c>
      <c r="H56" s="37" t="s">
        <v>274</v>
      </c>
      <c r="I56" s="38" t="n">
        <v>3148</v>
      </c>
      <c r="J56" s="39" t="n">
        <v>8.8</v>
      </c>
      <c r="K56" s="39" t="n">
        <v>11.1</v>
      </c>
      <c r="L56" s="40" t="n">
        <v>1.5</v>
      </c>
      <c r="M56" s="41" t="n">
        <v>5</v>
      </c>
      <c r="N56" s="39" t="n">
        <v>47</v>
      </c>
      <c r="O56" s="40" t="n">
        <v>5.412</v>
      </c>
      <c r="P56" s="38" t="n">
        <f aca="false">SUM(I56:J56)+SUM(L56:O56)</f>
        <v>3215.712</v>
      </c>
      <c r="Q56" s="38" t="n">
        <v>2989.9</v>
      </c>
      <c r="R56" s="51" t="n">
        <f aca="false">IF(Q56="","",P56/Q56-1)</f>
        <v>0.075524933944279</v>
      </c>
      <c r="S56" s="37"/>
    </row>
    <row r="57" customFormat="false" ht="15" hidden="false" customHeight="false" outlineLevel="0" collapsed="false">
      <c r="A57" s="45" t="s">
        <v>43</v>
      </c>
      <c r="B57" s="45" t="n">
        <v>2050</v>
      </c>
      <c r="C57" s="45" t="s">
        <v>146</v>
      </c>
      <c r="D57" s="45" t="s">
        <v>240</v>
      </c>
      <c r="E57" s="45" t="s">
        <v>281</v>
      </c>
      <c r="F57" s="46" t="n">
        <v>4158</v>
      </c>
      <c r="G57" s="45" t="s">
        <v>270</v>
      </c>
      <c r="H57" s="45" t="s">
        <v>274</v>
      </c>
      <c r="I57" s="46" t="n">
        <v>3083.1</v>
      </c>
      <c r="J57" s="47" t="n">
        <v>20.8</v>
      </c>
      <c r="K57" s="47" t="n">
        <v>20.8</v>
      </c>
      <c r="L57" s="48" t="n">
        <v>2.82</v>
      </c>
      <c r="M57" s="49" t="n">
        <v>5</v>
      </c>
      <c r="N57" s="47" t="n">
        <v>47</v>
      </c>
      <c r="O57" s="48" t="n">
        <v>5.412</v>
      </c>
      <c r="P57" s="46" t="n">
        <f aca="false">SUM(I57:J57)+SUM(L57:O57)</f>
        <v>3164.132</v>
      </c>
      <c r="Q57" s="46" t="n">
        <v>2989.9</v>
      </c>
      <c r="R57" s="50" t="n">
        <f aca="false">IF(Q57="","",P57/Q57-1)</f>
        <v>0.0582735208535403</v>
      </c>
      <c r="S57" s="45"/>
    </row>
    <row r="58" customFormat="false" ht="15" hidden="false" customHeight="false" outlineLevel="0" collapsed="false">
      <c r="A58" s="37" t="s">
        <v>46</v>
      </c>
      <c r="B58" s="37" t="n">
        <v>2030</v>
      </c>
      <c r="C58" s="37" t="s">
        <v>151</v>
      </c>
      <c r="D58" s="37" t="s">
        <v>243</v>
      </c>
      <c r="E58" s="37" t="s">
        <v>282</v>
      </c>
      <c r="F58" s="38" t="n">
        <v>6981</v>
      </c>
      <c r="G58" s="37" t="s">
        <v>270</v>
      </c>
      <c r="H58" s="37" t="s">
        <v>271</v>
      </c>
      <c r="I58" s="38" t="n">
        <v>6982.1</v>
      </c>
      <c r="J58" s="39" t="n">
        <v>64.9</v>
      </c>
      <c r="K58" s="39" t="n">
        <v>62.8</v>
      </c>
      <c r="L58" s="40" t="n">
        <v>4.43</v>
      </c>
      <c r="M58" s="41" t="n">
        <v>5</v>
      </c>
      <c r="N58" s="39" t="n">
        <v>1.2</v>
      </c>
      <c r="O58" s="40" t="n">
        <v>5.412</v>
      </c>
      <c r="P58" s="42" t="n">
        <f aca="false">SUM(I58:J58)+SUM(L58:O58)</f>
        <v>7063.042</v>
      </c>
      <c r="Q58" s="42" t="n">
        <v>6696.3</v>
      </c>
      <c r="R58" s="43" t="n">
        <f aca="false">IF(Q58="","",P58/Q58-1)</f>
        <v>0.0547678568761854</v>
      </c>
      <c r="S58" s="44" t="s">
        <v>278</v>
      </c>
    </row>
    <row r="59" customFormat="false" ht="15" hidden="false" customHeight="false" outlineLevel="0" collapsed="false">
      <c r="A59" s="45" t="s">
        <v>46</v>
      </c>
      <c r="B59" s="45" t="n">
        <v>2030</v>
      </c>
      <c r="C59" s="45" t="s">
        <v>155</v>
      </c>
      <c r="D59" s="45" t="s">
        <v>245</v>
      </c>
      <c r="E59" s="45" t="s">
        <v>282</v>
      </c>
      <c r="F59" s="46" t="n">
        <v>2672</v>
      </c>
      <c r="G59" s="45" t="s">
        <v>273</v>
      </c>
      <c r="H59" s="45" t="s">
        <v>271</v>
      </c>
      <c r="I59" s="46" t="n">
        <v>7523</v>
      </c>
      <c r="J59" s="47" t="n">
        <v>21.3</v>
      </c>
      <c r="K59" s="47" t="n">
        <v>24.1</v>
      </c>
      <c r="L59" s="48" t="n">
        <v>1.7</v>
      </c>
      <c r="M59" s="49" t="n">
        <v>5</v>
      </c>
      <c r="N59" s="47" t="n">
        <v>1.2</v>
      </c>
      <c r="O59" s="48" t="n">
        <v>5.412</v>
      </c>
      <c r="P59" s="46" t="n">
        <f aca="false">SUM(I59:J59)+SUM(L59:O59)</f>
        <v>7557.612</v>
      </c>
      <c r="Q59" s="46" t="n">
        <v>6696.3</v>
      </c>
      <c r="R59" s="50" t="n">
        <f aca="false">IF(Q59="","",P59/Q59-1)</f>
        <v>0.128625061601183</v>
      </c>
      <c r="S59" s="45"/>
    </row>
    <row r="60" customFormat="false" ht="15" hidden="false" customHeight="false" outlineLevel="0" collapsed="false">
      <c r="A60" s="37" t="s">
        <v>46</v>
      </c>
      <c r="B60" s="37" t="n">
        <v>2030</v>
      </c>
      <c r="C60" s="37" t="s">
        <v>146</v>
      </c>
      <c r="D60" s="37" t="s">
        <v>240</v>
      </c>
      <c r="E60" s="37" t="s">
        <v>282</v>
      </c>
      <c r="F60" s="38" t="n">
        <v>4611</v>
      </c>
      <c r="G60" s="37" t="s">
        <v>270</v>
      </c>
      <c r="H60" s="37" t="s">
        <v>271</v>
      </c>
      <c r="I60" s="38" t="n">
        <v>7241.5</v>
      </c>
      <c r="J60" s="39" t="n">
        <v>50.5</v>
      </c>
      <c r="K60" s="39" t="n">
        <v>41.5</v>
      </c>
      <c r="L60" s="40" t="n">
        <v>2.93</v>
      </c>
      <c r="M60" s="41" t="n">
        <v>5</v>
      </c>
      <c r="N60" s="39" t="n">
        <v>1.2</v>
      </c>
      <c r="O60" s="40" t="n">
        <v>5.412</v>
      </c>
      <c r="P60" s="38" t="n">
        <f aca="false">SUM(I60:J60)+SUM(L60:O60)</f>
        <v>7306.542</v>
      </c>
      <c r="Q60" s="38" t="n">
        <v>6696.3</v>
      </c>
      <c r="R60" s="51" t="n">
        <f aca="false">IF(Q60="","",P60/Q60-1)</f>
        <v>0.0911312217194571</v>
      </c>
      <c r="S60" s="37"/>
    </row>
    <row r="61" customFormat="false" ht="15" hidden="false" customHeight="false" outlineLevel="0" collapsed="false">
      <c r="A61" s="45" t="s">
        <v>46</v>
      </c>
      <c r="B61" s="45" t="n">
        <v>2050</v>
      </c>
      <c r="C61" s="45" t="s">
        <v>151</v>
      </c>
      <c r="D61" s="45" t="s">
        <v>243</v>
      </c>
      <c r="E61" s="45" t="s">
        <v>282</v>
      </c>
      <c r="F61" s="46" t="n">
        <v>6981</v>
      </c>
      <c r="G61" s="45" t="s">
        <v>270</v>
      </c>
      <c r="H61" s="45" t="s">
        <v>274</v>
      </c>
      <c r="I61" s="46" t="n">
        <v>2979.1</v>
      </c>
      <c r="J61" s="47" t="n">
        <v>29</v>
      </c>
      <c r="K61" s="47" t="n">
        <v>34.9</v>
      </c>
      <c r="L61" s="48" t="n">
        <v>4.73</v>
      </c>
      <c r="M61" s="49" t="n">
        <v>5</v>
      </c>
      <c r="N61" s="47" t="n">
        <v>1.2</v>
      </c>
      <c r="O61" s="48" t="n">
        <v>5.412</v>
      </c>
      <c r="P61" s="52" t="n">
        <f aca="false">SUM(I61:J61)+SUM(L61:O61)</f>
        <v>3024.442</v>
      </c>
      <c r="Q61" s="52" t="n">
        <v>3066.5</v>
      </c>
      <c r="R61" s="53" t="n">
        <f aca="false">IF(Q61="","",P61/Q61-1)</f>
        <v>-0.0137153106147073</v>
      </c>
      <c r="S61" s="54" t="s">
        <v>272</v>
      </c>
    </row>
    <row r="62" customFormat="false" ht="15" hidden="false" customHeight="false" outlineLevel="0" collapsed="false">
      <c r="A62" s="37" t="s">
        <v>46</v>
      </c>
      <c r="B62" s="37" t="n">
        <v>2050</v>
      </c>
      <c r="C62" s="37" t="s">
        <v>155</v>
      </c>
      <c r="D62" s="37" t="s">
        <v>245</v>
      </c>
      <c r="E62" s="37" t="s">
        <v>282</v>
      </c>
      <c r="F62" s="38" t="n">
        <v>2672</v>
      </c>
      <c r="G62" s="37" t="s">
        <v>273</v>
      </c>
      <c r="H62" s="37" t="s">
        <v>274</v>
      </c>
      <c r="I62" s="38" t="n">
        <v>3148</v>
      </c>
      <c r="J62" s="39" t="n">
        <v>10.1</v>
      </c>
      <c r="K62" s="39" t="n">
        <v>13.4</v>
      </c>
      <c r="L62" s="40" t="n">
        <v>1.81</v>
      </c>
      <c r="M62" s="41" t="n">
        <v>5</v>
      </c>
      <c r="N62" s="39" t="n">
        <v>1.2</v>
      </c>
      <c r="O62" s="40" t="n">
        <v>5.412</v>
      </c>
      <c r="P62" s="38" t="n">
        <f aca="false">SUM(I62:J62)+SUM(L62:O62)</f>
        <v>3171.522</v>
      </c>
      <c r="Q62" s="38" t="n">
        <v>3066.5</v>
      </c>
      <c r="R62" s="51" t="n">
        <f aca="false">IF(Q62="","",P62/Q62-1)</f>
        <v>0.0342481656611773</v>
      </c>
      <c r="S62" s="37"/>
    </row>
    <row r="63" customFormat="false" ht="15" hidden="false" customHeight="false" outlineLevel="0" collapsed="false">
      <c r="A63" s="45" t="s">
        <v>46</v>
      </c>
      <c r="B63" s="45" t="n">
        <v>2050</v>
      </c>
      <c r="C63" s="45" t="s">
        <v>146</v>
      </c>
      <c r="D63" s="45" t="s">
        <v>240</v>
      </c>
      <c r="E63" s="45" t="s">
        <v>282</v>
      </c>
      <c r="F63" s="46" t="n">
        <v>4611</v>
      </c>
      <c r="G63" s="45" t="s">
        <v>270</v>
      </c>
      <c r="H63" s="45" t="s">
        <v>274</v>
      </c>
      <c r="I63" s="46" t="n">
        <v>3083.1</v>
      </c>
      <c r="J63" s="47" t="n">
        <v>22.1</v>
      </c>
      <c r="K63" s="47" t="n">
        <v>23.1</v>
      </c>
      <c r="L63" s="48" t="n">
        <v>3.12</v>
      </c>
      <c r="M63" s="49" t="n">
        <v>5</v>
      </c>
      <c r="N63" s="47" t="n">
        <v>1.2</v>
      </c>
      <c r="O63" s="48" t="n">
        <v>5.412</v>
      </c>
      <c r="P63" s="46" t="n">
        <f aca="false">SUM(I63:J63)+SUM(L63:O63)</f>
        <v>3119.932</v>
      </c>
      <c r="Q63" s="46" t="n">
        <v>3066.5</v>
      </c>
      <c r="R63" s="50" t="n">
        <f aca="false">IF(Q63="","",P63/Q63-1)</f>
        <v>0.017424425240502</v>
      </c>
      <c r="S63" s="45"/>
    </row>
    <row r="64" customFormat="false" ht="15" hidden="false" customHeight="false" outlineLevel="0" collapsed="false">
      <c r="A64" s="37" t="s">
        <v>26</v>
      </c>
      <c r="B64" s="37" t="n">
        <v>2030</v>
      </c>
      <c r="C64" s="37" t="s">
        <v>151</v>
      </c>
      <c r="D64" s="37" t="s">
        <v>243</v>
      </c>
      <c r="E64" s="37" t="s">
        <v>283</v>
      </c>
      <c r="F64" s="38" t="n">
        <v>4779</v>
      </c>
      <c r="G64" s="37" t="s">
        <v>270</v>
      </c>
      <c r="H64" s="37" t="s">
        <v>271</v>
      </c>
      <c r="I64" s="38" t="n">
        <v>6982.1</v>
      </c>
      <c r="J64" s="39" t="n">
        <v>51.5</v>
      </c>
      <c r="K64" s="39" t="n">
        <v>43</v>
      </c>
      <c r="L64" s="40" t="n">
        <v>3.03</v>
      </c>
      <c r="M64" s="41" t="n">
        <v>5</v>
      </c>
      <c r="N64" s="39" t="n">
        <v>38.4</v>
      </c>
      <c r="O64" s="40" t="n">
        <v>5.412</v>
      </c>
      <c r="P64" s="42" t="n">
        <f aca="false">SUM(I64:J64)+SUM(L64:O64)</f>
        <v>7085.442</v>
      </c>
      <c r="Q64" s="42" t="n">
        <v>6196.3</v>
      </c>
      <c r="R64" s="43" t="n">
        <f aca="false">IF(Q64="","",P64/Q64-1)</f>
        <v>0.143495634491551</v>
      </c>
      <c r="S64" s="44" t="s">
        <v>278</v>
      </c>
    </row>
    <row r="65" customFormat="false" ht="15" hidden="false" customHeight="false" outlineLevel="0" collapsed="false">
      <c r="A65" s="45" t="s">
        <v>26</v>
      </c>
      <c r="B65" s="45" t="n">
        <v>2030</v>
      </c>
      <c r="C65" s="45" t="s">
        <v>155</v>
      </c>
      <c r="D65" s="45" t="s">
        <v>245</v>
      </c>
      <c r="E65" s="45" t="s">
        <v>283</v>
      </c>
      <c r="F65" s="46" t="n">
        <v>1347</v>
      </c>
      <c r="G65" s="45" t="s">
        <v>273</v>
      </c>
      <c r="H65" s="45" t="s">
        <v>271</v>
      </c>
      <c r="I65" s="46" t="n">
        <v>7523</v>
      </c>
      <c r="J65" s="47" t="n">
        <v>13.3</v>
      </c>
      <c r="K65" s="47" t="n">
        <v>12.1</v>
      </c>
      <c r="L65" s="48" t="n">
        <v>0.85</v>
      </c>
      <c r="M65" s="49" t="n">
        <v>5</v>
      </c>
      <c r="N65" s="47" t="n">
        <v>38.4</v>
      </c>
      <c r="O65" s="48" t="n">
        <v>5.412</v>
      </c>
      <c r="P65" s="46" t="n">
        <f aca="false">SUM(I65:J65)+SUM(L65:O65)</f>
        <v>7585.962</v>
      </c>
      <c r="Q65" s="46" t="n">
        <v>6196.3</v>
      </c>
      <c r="R65" s="50" t="n">
        <f aca="false">IF(Q65="","",P65/Q65-1)</f>
        <v>0.224272872520698</v>
      </c>
      <c r="S65" s="45"/>
    </row>
    <row r="66" customFormat="false" ht="15" hidden="false" customHeight="false" outlineLevel="0" collapsed="false">
      <c r="A66" s="37" t="s">
        <v>26</v>
      </c>
      <c r="B66" s="37" t="n">
        <v>2030</v>
      </c>
      <c r="C66" s="37" t="s">
        <v>146</v>
      </c>
      <c r="D66" s="37" t="s">
        <v>240</v>
      </c>
      <c r="E66" s="37" t="s">
        <v>283</v>
      </c>
      <c r="F66" s="38" t="n">
        <v>2409</v>
      </c>
      <c r="G66" s="37" t="s">
        <v>270</v>
      </c>
      <c r="H66" s="37" t="s">
        <v>271</v>
      </c>
      <c r="I66" s="38" t="n">
        <v>7241.5</v>
      </c>
      <c r="J66" s="39" t="n">
        <v>37.2</v>
      </c>
      <c r="K66" s="39" t="n">
        <v>21.7</v>
      </c>
      <c r="L66" s="40" t="n">
        <v>1.53</v>
      </c>
      <c r="M66" s="41" t="n">
        <v>5</v>
      </c>
      <c r="N66" s="39" t="n">
        <v>38.4</v>
      </c>
      <c r="O66" s="40" t="n">
        <v>5.412</v>
      </c>
      <c r="P66" s="38" t="n">
        <f aca="false">SUM(I66:J66)+SUM(L66:O66)</f>
        <v>7329.042</v>
      </c>
      <c r="Q66" s="38" t="n">
        <v>6196.3</v>
      </c>
      <c r="R66" s="51" t="n">
        <f aca="false">IF(Q66="","",P66/Q66-1)</f>
        <v>0.182809418523958</v>
      </c>
      <c r="S66" s="37"/>
    </row>
    <row r="67" customFormat="false" ht="15" hidden="false" customHeight="false" outlineLevel="0" collapsed="false">
      <c r="A67" s="45" t="s">
        <v>26</v>
      </c>
      <c r="B67" s="45" t="n">
        <v>2050</v>
      </c>
      <c r="C67" s="45" t="s">
        <v>151</v>
      </c>
      <c r="D67" s="45" t="s">
        <v>243</v>
      </c>
      <c r="E67" s="45" t="s">
        <v>283</v>
      </c>
      <c r="F67" s="46" t="n">
        <v>4779</v>
      </c>
      <c r="G67" s="45" t="s">
        <v>270</v>
      </c>
      <c r="H67" s="45" t="s">
        <v>274</v>
      </c>
      <c r="I67" s="46" t="n">
        <v>2979.1</v>
      </c>
      <c r="J67" s="47" t="n">
        <v>22.6</v>
      </c>
      <c r="K67" s="47" t="n">
        <v>23.9</v>
      </c>
      <c r="L67" s="48" t="n">
        <v>3.24</v>
      </c>
      <c r="M67" s="49" t="n">
        <v>5</v>
      </c>
      <c r="N67" s="47" t="n">
        <v>38.4</v>
      </c>
      <c r="O67" s="48" t="n">
        <v>5.412</v>
      </c>
      <c r="P67" s="52" t="n">
        <f aca="false">SUM(I67:J67)+SUM(L67:O67)</f>
        <v>3053.752</v>
      </c>
      <c r="Q67" s="52" t="n">
        <v>2821.4</v>
      </c>
      <c r="R67" s="53" t="n">
        <f aca="false">IF(Q67="","",P67/Q67-1)</f>
        <v>0.0823534415538385</v>
      </c>
      <c r="S67" s="54" t="s">
        <v>278</v>
      </c>
    </row>
    <row r="68" customFormat="false" ht="15" hidden="false" customHeight="false" outlineLevel="0" collapsed="false">
      <c r="A68" s="37" t="s">
        <v>26</v>
      </c>
      <c r="B68" s="37" t="n">
        <v>2050</v>
      </c>
      <c r="C68" s="37" t="s">
        <v>155</v>
      </c>
      <c r="D68" s="37" t="s">
        <v>245</v>
      </c>
      <c r="E68" s="37" t="s">
        <v>283</v>
      </c>
      <c r="F68" s="38" t="n">
        <v>1347</v>
      </c>
      <c r="G68" s="37" t="s">
        <v>273</v>
      </c>
      <c r="H68" s="37" t="s">
        <v>274</v>
      </c>
      <c r="I68" s="38" t="n">
        <v>3148</v>
      </c>
      <c r="J68" s="39" t="n">
        <v>6.3</v>
      </c>
      <c r="K68" s="39" t="n">
        <v>6.7</v>
      </c>
      <c r="L68" s="40" t="n">
        <v>0.91</v>
      </c>
      <c r="M68" s="41" t="n">
        <v>5</v>
      </c>
      <c r="N68" s="39" t="n">
        <v>38.4</v>
      </c>
      <c r="O68" s="40" t="n">
        <v>5.412</v>
      </c>
      <c r="P68" s="38" t="n">
        <f aca="false">SUM(I68:J68)+SUM(L68:O68)</f>
        <v>3204.022</v>
      </c>
      <c r="Q68" s="38" t="n">
        <v>2821.4</v>
      </c>
      <c r="R68" s="51" t="n">
        <f aca="false">IF(Q68="","",P68/Q68-1)</f>
        <v>0.135614234068193</v>
      </c>
      <c r="S68" s="37"/>
    </row>
    <row r="69" customFormat="false" ht="15" hidden="false" customHeight="false" outlineLevel="0" collapsed="false">
      <c r="A69" s="45" t="s">
        <v>26</v>
      </c>
      <c r="B69" s="45" t="n">
        <v>2050</v>
      </c>
      <c r="C69" s="45" t="s">
        <v>146</v>
      </c>
      <c r="D69" s="45" t="s">
        <v>240</v>
      </c>
      <c r="E69" s="45" t="s">
        <v>283</v>
      </c>
      <c r="F69" s="46" t="n">
        <v>2409</v>
      </c>
      <c r="G69" s="45" t="s">
        <v>270</v>
      </c>
      <c r="H69" s="45" t="s">
        <v>274</v>
      </c>
      <c r="I69" s="46" t="n">
        <v>3083.1</v>
      </c>
      <c r="J69" s="47" t="n">
        <v>15.7</v>
      </c>
      <c r="K69" s="47" t="n">
        <v>12</v>
      </c>
      <c r="L69" s="48" t="n">
        <v>1.63</v>
      </c>
      <c r="M69" s="49" t="n">
        <v>5</v>
      </c>
      <c r="N69" s="47" t="n">
        <v>38.4</v>
      </c>
      <c r="O69" s="48" t="n">
        <v>5.412</v>
      </c>
      <c r="P69" s="46" t="n">
        <f aca="false">SUM(I69:J69)+SUM(L69:O69)</f>
        <v>3149.242</v>
      </c>
      <c r="Q69" s="46" t="n">
        <v>2821.4</v>
      </c>
      <c r="R69" s="50" t="n">
        <f aca="false">IF(Q69="","",P69/Q69-1)</f>
        <v>0.116198341249025</v>
      </c>
      <c r="S69" s="45"/>
    </row>
    <row r="70" customFormat="false" ht="15" hidden="false" customHeight="false" outlineLevel="0" collapsed="false">
      <c r="A70" s="37" t="s">
        <v>126</v>
      </c>
      <c r="B70" s="37" t="n">
        <v>2030</v>
      </c>
      <c r="C70" s="37" t="s">
        <v>151</v>
      </c>
      <c r="D70" s="37" t="s">
        <v>243</v>
      </c>
      <c r="E70" s="37" t="s">
        <v>284</v>
      </c>
      <c r="F70" s="38" t="n">
        <v>7512</v>
      </c>
      <c r="G70" s="37" t="s">
        <v>270</v>
      </c>
      <c r="H70" s="37" t="s">
        <v>271</v>
      </c>
      <c r="I70" s="38" t="n">
        <v>6982.1</v>
      </c>
      <c r="J70" s="39" t="n">
        <v>68.1</v>
      </c>
      <c r="K70" s="39" t="n">
        <v>67.6</v>
      </c>
      <c r="L70" s="40" t="n">
        <v>4.77</v>
      </c>
      <c r="M70" s="41" t="n">
        <v>5</v>
      </c>
      <c r="N70" s="39" t="n">
        <v>0.7</v>
      </c>
      <c r="O70" s="40" t="n">
        <v>5.412</v>
      </c>
      <c r="P70" s="42" t="n">
        <f aca="false">SUM(I70:J70)+SUM(L70:O70)</f>
        <v>7066.082</v>
      </c>
      <c r="Q70" s="42" t="n">
        <v>21723.8</v>
      </c>
      <c r="R70" s="43" t="n">
        <f aca="false">IF(Q70="","",P70/Q70-1)</f>
        <v>-0.674730848194147</v>
      </c>
      <c r="S70" s="44" t="s">
        <v>272</v>
      </c>
    </row>
    <row r="71" customFormat="false" ht="15" hidden="false" customHeight="false" outlineLevel="0" collapsed="false">
      <c r="A71" s="45" t="s">
        <v>126</v>
      </c>
      <c r="B71" s="45" t="n">
        <v>2030</v>
      </c>
      <c r="C71" s="45" t="s">
        <v>155</v>
      </c>
      <c r="D71" s="45" t="s">
        <v>245</v>
      </c>
      <c r="E71" s="45" t="s">
        <v>284</v>
      </c>
      <c r="F71" s="46" t="n">
        <v>3203</v>
      </c>
      <c r="G71" s="45" t="s">
        <v>273</v>
      </c>
      <c r="H71" s="45" t="s">
        <v>271</v>
      </c>
      <c r="I71" s="46" t="n">
        <v>7523</v>
      </c>
      <c r="J71" s="47" t="n">
        <v>24.5</v>
      </c>
      <c r="K71" s="47" t="n">
        <v>28.8</v>
      </c>
      <c r="L71" s="48" t="n">
        <v>2.03</v>
      </c>
      <c r="M71" s="49" t="n">
        <v>5</v>
      </c>
      <c r="N71" s="47" t="n">
        <v>0.7</v>
      </c>
      <c r="O71" s="48" t="n">
        <v>5.412</v>
      </c>
      <c r="P71" s="46" t="n">
        <f aca="false">SUM(I71:J71)+SUM(L71:O71)</f>
        <v>7560.642</v>
      </c>
      <c r="Q71" s="46" t="n">
        <v>21723.8</v>
      </c>
      <c r="R71" s="50" t="n">
        <f aca="false">IF(Q71="","",P71/Q71-1)</f>
        <v>-0.651965033741795</v>
      </c>
      <c r="S71" s="45"/>
    </row>
    <row r="72" customFormat="false" ht="15" hidden="false" customHeight="false" outlineLevel="0" collapsed="false">
      <c r="A72" s="37" t="s">
        <v>126</v>
      </c>
      <c r="B72" s="37" t="n">
        <v>2030</v>
      </c>
      <c r="C72" s="37" t="s">
        <v>146</v>
      </c>
      <c r="D72" s="37" t="s">
        <v>240</v>
      </c>
      <c r="E72" s="37" t="s">
        <v>284</v>
      </c>
      <c r="F72" s="38" t="n">
        <v>5142</v>
      </c>
      <c r="G72" s="37" t="s">
        <v>270</v>
      </c>
      <c r="H72" s="37" t="s">
        <v>271</v>
      </c>
      <c r="I72" s="38" t="n">
        <v>7241.5</v>
      </c>
      <c r="J72" s="39" t="n">
        <v>53.8</v>
      </c>
      <c r="K72" s="39" t="n">
        <v>46.3</v>
      </c>
      <c r="L72" s="40" t="n">
        <v>3.26</v>
      </c>
      <c r="M72" s="41" t="n">
        <v>5</v>
      </c>
      <c r="N72" s="39" t="n">
        <v>0.7</v>
      </c>
      <c r="O72" s="40" t="n">
        <v>5.412</v>
      </c>
      <c r="P72" s="38" t="n">
        <f aca="false">SUM(I72:J72)+SUM(L72:O72)</f>
        <v>7309.672</v>
      </c>
      <c r="Q72" s="38" t="n">
        <v>21723.8</v>
      </c>
      <c r="R72" s="51" t="n">
        <f aca="false">IF(Q72="","",P72/Q72-1)</f>
        <v>-0.663517800753091</v>
      </c>
      <c r="S72" s="37"/>
    </row>
    <row r="73" customFormat="false" ht="15" hidden="false" customHeight="false" outlineLevel="0" collapsed="false">
      <c r="A73" s="45" t="s">
        <v>126</v>
      </c>
      <c r="B73" s="45" t="n">
        <v>2050</v>
      </c>
      <c r="C73" s="45" t="s">
        <v>151</v>
      </c>
      <c r="D73" s="45" t="s">
        <v>243</v>
      </c>
      <c r="E73" s="45" t="s">
        <v>284</v>
      </c>
      <c r="F73" s="46" t="n">
        <v>7512</v>
      </c>
      <c r="G73" s="45" t="s">
        <v>270</v>
      </c>
      <c r="H73" s="45" t="s">
        <v>274</v>
      </c>
      <c r="I73" s="46" t="n">
        <v>2979.1</v>
      </c>
      <c r="J73" s="47" t="n">
        <v>30.5</v>
      </c>
      <c r="K73" s="47" t="n">
        <v>37.6</v>
      </c>
      <c r="L73" s="48" t="n">
        <v>5.09</v>
      </c>
      <c r="M73" s="49" t="n">
        <v>5</v>
      </c>
      <c r="N73" s="47" t="n">
        <v>0.7</v>
      </c>
      <c r="O73" s="48" t="n">
        <v>5.412</v>
      </c>
      <c r="P73" s="52" t="n">
        <f aca="false">SUM(I73:J73)+SUM(L73:O73)</f>
        <v>3025.802</v>
      </c>
      <c r="Q73" s="52" t="n">
        <v>5273.2</v>
      </c>
      <c r="R73" s="53" t="n">
        <f aca="false">IF(Q73="","",P73/Q73-1)</f>
        <v>-0.426192444815293</v>
      </c>
      <c r="S73" s="54" t="s">
        <v>272</v>
      </c>
    </row>
    <row r="74" customFormat="false" ht="15" hidden="false" customHeight="false" outlineLevel="0" collapsed="false">
      <c r="A74" s="37" t="s">
        <v>126</v>
      </c>
      <c r="B74" s="37" t="n">
        <v>2050</v>
      </c>
      <c r="C74" s="37" t="s">
        <v>155</v>
      </c>
      <c r="D74" s="37" t="s">
        <v>245</v>
      </c>
      <c r="E74" s="37" t="s">
        <v>284</v>
      </c>
      <c r="F74" s="38" t="n">
        <v>3203</v>
      </c>
      <c r="G74" s="37" t="s">
        <v>273</v>
      </c>
      <c r="H74" s="37" t="s">
        <v>274</v>
      </c>
      <c r="I74" s="38" t="n">
        <v>3148</v>
      </c>
      <c r="J74" s="39" t="n">
        <v>11.7</v>
      </c>
      <c r="K74" s="39" t="n">
        <v>16</v>
      </c>
      <c r="L74" s="40" t="n">
        <v>2.17</v>
      </c>
      <c r="M74" s="41" t="n">
        <v>5</v>
      </c>
      <c r="N74" s="39" t="n">
        <v>0.7</v>
      </c>
      <c r="O74" s="40" t="n">
        <v>5.412</v>
      </c>
      <c r="P74" s="38" t="n">
        <f aca="false">SUM(I74:J74)+SUM(L74:O74)</f>
        <v>3172.982</v>
      </c>
      <c r="Q74" s="38" t="n">
        <v>5273.2</v>
      </c>
      <c r="R74" s="51" t="n">
        <f aca="false">IF(Q74="","",P74/Q74-1)</f>
        <v>-0.398281498900099</v>
      </c>
      <c r="S74" s="37"/>
    </row>
    <row r="75" customFormat="false" ht="15" hidden="false" customHeight="false" outlineLevel="0" collapsed="false">
      <c r="A75" s="45" t="s">
        <v>126</v>
      </c>
      <c r="B75" s="45" t="n">
        <v>2050</v>
      </c>
      <c r="C75" s="45" t="s">
        <v>146</v>
      </c>
      <c r="D75" s="45" t="s">
        <v>240</v>
      </c>
      <c r="E75" s="45" t="s">
        <v>284</v>
      </c>
      <c r="F75" s="46" t="n">
        <v>5142</v>
      </c>
      <c r="G75" s="45" t="s">
        <v>270</v>
      </c>
      <c r="H75" s="45" t="s">
        <v>274</v>
      </c>
      <c r="I75" s="46" t="n">
        <v>3083.1</v>
      </c>
      <c r="J75" s="47" t="n">
        <v>23.6</v>
      </c>
      <c r="K75" s="47" t="n">
        <v>25.7</v>
      </c>
      <c r="L75" s="48" t="n">
        <v>3.48</v>
      </c>
      <c r="M75" s="49" t="n">
        <v>5</v>
      </c>
      <c r="N75" s="47" t="n">
        <v>0.7</v>
      </c>
      <c r="O75" s="48" t="n">
        <v>5.412</v>
      </c>
      <c r="P75" s="46" t="n">
        <f aca="false">SUM(I75:J75)+SUM(L75:O75)</f>
        <v>3121.292</v>
      </c>
      <c r="Q75" s="46" t="n">
        <v>5273.2</v>
      </c>
      <c r="R75" s="50" t="n">
        <f aca="false">IF(Q75="","",P75/Q75-1)</f>
        <v>-0.408083895926572</v>
      </c>
      <c r="S75" s="45"/>
    </row>
    <row r="76" customFormat="false" ht="15" hidden="false" customHeight="false" outlineLevel="0" collapsed="false">
      <c r="A76" s="37" t="s">
        <v>63</v>
      </c>
      <c r="B76" s="37" t="n">
        <v>2030</v>
      </c>
      <c r="C76" s="37" t="s">
        <v>151</v>
      </c>
      <c r="D76" s="37" t="s">
        <v>243</v>
      </c>
      <c r="E76" s="37" t="s">
        <v>285</v>
      </c>
      <c r="F76" s="38" t="n">
        <v>7562</v>
      </c>
      <c r="G76" s="37" t="s">
        <v>270</v>
      </c>
      <c r="H76" s="37" t="s">
        <v>271</v>
      </c>
      <c r="I76" s="38" t="n">
        <v>6982.1</v>
      </c>
      <c r="J76" s="39" t="n">
        <v>68.4</v>
      </c>
      <c r="K76" s="39" t="n">
        <v>68.1</v>
      </c>
      <c r="L76" s="40" t="n">
        <v>4.8</v>
      </c>
      <c r="M76" s="41" t="n">
        <v>5</v>
      </c>
      <c r="N76" s="39" t="n">
        <v>2.1</v>
      </c>
      <c r="O76" s="40" t="n">
        <v>5.412</v>
      </c>
      <c r="P76" s="42" t="n">
        <f aca="false">SUM(I76:J76)+SUM(L76:O76)</f>
        <v>7067.812</v>
      </c>
      <c r="Q76" s="42" t="n">
        <v>7199.3</v>
      </c>
      <c r="R76" s="43" t="n">
        <f aca="false">IF(Q76="","",P76/Q76-1)</f>
        <v>-0.0182639978886837</v>
      </c>
      <c r="S76" s="44" t="s">
        <v>272</v>
      </c>
    </row>
    <row r="77" customFormat="false" ht="15" hidden="false" customHeight="false" outlineLevel="0" collapsed="false">
      <c r="A77" s="45" t="s">
        <v>63</v>
      </c>
      <c r="B77" s="45" t="n">
        <v>2030</v>
      </c>
      <c r="C77" s="45" t="s">
        <v>155</v>
      </c>
      <c r="D77" s="45" t="s">
        <v>245</v>
      </c>
      <c r="E77" s="45" t="s">
        <v>285</v>
      </c>
      <c r="F77" s="46" t="n">
        <v>3253</v>
      </c>
      <c r="G77" s="45" t="s">
        <v>273</v>
      </c>
      <c r="H77" s="45" t="s">
        <v>271</v>
      </c>
      <c r="I77" s="46" t="n">
        <v>7523</v>
      </c>
      <c r="J77" s="47" t="n">
        <v>24.8</v>
      </c>
      <c r="K77" s="47" t="n">
        <v>29.3</v>
      </c>
      <c r="L77" s="48" t="n">
        <v>2.06</v>
      </c>
      <c r="M77" s="49" t="n">
        <v>5</v>
      </c>
      <c r="N77" s="47" t="n">
        <v>2.1</v>
      </c>
      <c r="O77" s="48" t="n">
        <v>5.412</v>
      </c>
      <c r="P77" s="46" t="n">
        <f aca="false">SUM(I77:J77)+SUM(L77:O77)</f>
        <v>7562.372</v>
      </c>
      <c r="Q77" s="46" t="n">
        <v>7199.3</v>
      </c>
      <c r="R77" s="50" t="n">
        <f aca="false">IF(Q77="","",P77/Q77-1)</f>
        <v>0.0504315697359465</v>
      </c>
      <c r="S77" s="45"/>
    </row>
    <row r="78" customFormat="false" ht="15" hidden="false" customHeight="false" outlineLevel="0" collapsed="false">
      <c r="A78" s="37" t="s">
        <v>63</v>
      </c>
      <c r="B78" s="37" t="n">
        <v>2030</v>
      </c>
      <c r="C78" s="37" t="s">
        <v>146</v>
      </c>
      <c r="D78" s="37" t="s">
        <v>240</v>
      </c>
      <c r="E78" s="37" t="s">
        <v>285</v>
      </c>
      <c r="F78" s="38" t="n">
        <v>5192</v>
      </c>
      <c r="G78" s="37" t="s">
        <v>270</v>
      </c>
      <c r="H78" s="37" t="s">
        <v>271</v>
      </c>
      <c r="I78" s="38" t="n">
        <v>7241.5</v>
      </c>
      <c r="J78" s="39" t="n">
        <v>54.1</v>
      </c>
      <c r="K78" s="39" t="n">
        <v>46.7</v>
      </c>
      <c r="L78" s="40" t="n">
        <v>3.29</v>
      </c>
      <c r="M78" s="41" t="n">
        <v>5</v>
      </c>
      <c r="N78" s="39" t="n">
        <v>2.1</v>
      </c>
      <c r="O78" s="40" t="n">
        <v>5.412</v>
      </c>
      <c r="P78" s="38" t="n">
        <f aca="false">SUM(I78:J78)+SUM(L78:O78)</f>
        <v>7311.402</v>
      </c>
      <c r="Q78" s="38" t="n">
        <v>7199.3</v>
      </c>
      <c r="R78" s="51" t="n">
        <f aca="false">IF(Q78="","",P78/Q78-1)</f>
        <v>0.0155712360923979</v>
      </c>
      <c r="S78" s="37"/>
    </row>
    <row r="79" customFormat="false" ht="15" hidden="false" customHeight="false" outlineLevel="0" collapsed="false">
      <c r="A79" s="45" t="s">
        <v>63</v>
      </c>
      <c r="B79" s="45" t="n">
        <v>2050</v>
      </c>
      <c r="C79" s="45" t="s">
        <v>151</v>
      </c>
      <c r="D79" s="45" t="s">
        <v>243</v>
      </c>
      <c r="E79" s="45" t="s">
        <v>285</v>
      </c>
      <c r="F79" s="46" t="n">
        <v>7562</v>
      </c>
      <c r="G79" s="45" t="s">
        <v>270</v>
      </c>
      <c r="H79" s="45" t="s">
        <v>274</v>
      </c>
      <c r="I79" s="46" t="n">
        <v>2979.1</v>
      </c>
      <c r="J79" s="47" t="n">
        <v>30.7</v>
      </c>
      <c r="K79" s="47" t="n">
        <v>37.8</v>
      </c>
      <c r="L79" s="48" t="n">
        <v>5.12</v>
      </c>
      <c r="M79" s="49" t="n">
        <v>5</v>
      </c>
      <c r="N79" s="47" t="n">
        <v>2.1</v>
      </c>
      <c r="O79" s="48" t="n">
        <v>5.412</v>
      </c>
      <c r="P79" s="52" t="n">
        <f aca="false">SUM(I79:J79)+SUM(L79:O79)</f>
        <v>3027.432</v>
      </c>
      <c r="Q79" s="52" t="n">
        <v>3206.6</v>
      </c>
      <c r="R79" s="53" t="n">
        <f aca="false">IF(Q79="","",P79/Q79-1)</f>
        <v>-0.0558747583109837</v>
      </c>
      <c r="S79" s="54" t="s">
        <v>272</v>
      </c>
    </row>
    <row r="80" customFormat="false" ht="15" hidden="false" customHeight="false" outlineLevel="0" collapsed="false">
      <c r="A80" s="37" t="s">
        <v>63</v>
      </c>
      <c r="B80" s="37" t="n">
        <v>2050</v>
      </c>
      <c r="C80" s="37" t="s">
        <v>155</v>
      </c>
      <c r="D80" s="37" t="s">
        <v>245</v>
      </c>
      <c r="E80" s="37" t="s">
        <v>285</v>
      </c>
      <c r="F80" s="38" t="n">
        <v>3253</v>
      </c>
      <c r="G80" s="37" t="s">
        <v>273</v>
      </c>
      <c r="H80" s="37" t="s">
        <v>274</v>
      </c>
      <c r="I80" s="38" t="n">
        <v>3148</v>
      </c>
      <c r="J80" s="39" t="n">
        <v>11.8</v>
      </c>
      <c r="K80" s="39" t="n">
        <v>16.3</v>
      </c>
      <c r="L80" s="40" t="n">
        <v>2.2</v>
      </c>
      <c r="M80" s="41" t="n">
        <v>5</v>
      </c>
      <c r="N80" s="39" t="n">
        <v>2.1</v>
      </c>
      <c r="O80" s="40" t="n">
        <v>5.412</v>
      </c>
      <c r="P80" s="38" t="n">
        <f aca="false">SUM(I80:J80)+SUM(L80:O80)</f>
        <v>3174.512</v>
      </c>
      <c r="Q80" s="38" t="n">
        <v>3206.6</v>
      </c>
      <c r="R80" s="51" t="n">
        <f aca="false">IF(Q80="","",P80/Q80-1)</f>
        <v>-0.0100068608494979</v>
      </c>
      <c r="S80" s="37"/>
    </row>
    <row r="81" customFormat="false" ht="15" hidden="false" customHeight="false" outlineLevel="0" collapsed="false">
      <c r="A81" s="45" t="s">
        <v>63</v>
      </c>
      <c r="B81" s="45" t="n">
        <v>2050</v>
      </c>
      <c r="C81" s="45" t="s">
        <v>146</v>
      </c>
      <c r="D81" s="45" t="s">
        <v>240</v>
      </c>
      <c r="E81" s="45" t="s">
        <v>285</v>
      </c>
      <c r="F81" s="46" t="n">
        <v>5192</v>
      </c>
      <c r="G81" s="45" t="s">
        <v>270</v>
      </c>
      <c r="H81" s="45" t="s">
        <v>274</v>
      </c>
      <c r="I81" s="46" t="n">
        <v>3083.1</v>
      </c>
      <c r="J81" s="47" t="n">
        <v>23.8</v>
      </c>
      <c r="K81" s="47" t="n">
        <v>26</v>
      </c>
      <c r="L81" s="48" t="n">
        <v>3.52</v>
      </c>
      <c r="M81" s="49" t="n">
        <v>5</v>
      </c>
      <c r="N81" s="47" t="n">
        <v>2.1</v>
      </c>
      <c r="O81" s="48" t="n">
        <v>5.412</v>
      </c>
      <c r="P81" s="46" t="n">
        <f aca="false">SUM(I81:J81)+SUM(L81:O81)</f>
        <v>3122.932</v>
      </c>
      <c r="Q81" s="46" t="n">
        <v>3206.6</v>
      </c>
      <c r="R81" s="50" t="n">
        <f aca="false">IF(Q81="","",P81/Q81-1)</f>
        <v>-0.0260924343541444</v>
      </c>
      <c r="S81" s="45"/>
    </row>
    <row r="82" customFormat="false" ht="15" hidden="false" customHeight="false" outlineLevel="0" collapsed="false">
      <c r="A82" s="37" t="s">
        <v>35</v>
      </c>
      <c r="B82" s="37" t="n">
        <v>2030</v>
      </c>
      <c r="C82" s="37" t="s">
        <v>151</v>
      </c>
      <c r="D82" s="37" t="s">
        <v>243</v>
      </c>
      <c r="E82" s="37" t="s">
        <v>286</v>
      </c>
      <c r="F82" s="38" t="n">
        <v>6283</v>
      </c>
      <c r="G82" s="37" t="s">
        <v>270</v>
      </c>
      <c r="H82" s="37" t="s">
        <v>271</v>
      </c>
      <c r="I82" s="38" t="n">
        <v>6982.1</v>
      </c>
      <c r="J82" s="39" t="n">
        <v>60.7</v>
      </c>
      <c r="K82" s="39" t="n">
        <v>56.5</v>
      </c>
      <c r="L82" s="40" t="n">
        <v>3.99</v>
      </c>
      <c r="M82" s="41" t="n">
        <v>5</v>
      </c>
      <c r="N82" s="39" t="n">
        <v>14.7</v>
      </c>
      <c r="O82" s="40" t="n">
        <v>5.412</v>
      </c>
      <c r="P82" s="42" t="n">
        <f aca="false">SUM(I82:J82)+SUM(L82:O82)</f>
        <v>7071.902</v>
      </c>
      <c r="Q82" s="42" t="n">
        <v>5898</v>
      </c>
      <c r="R82" s="43" t="n">
        <f aca="false">IF(Q82="","",P82/Q82-1)</f>
        <v>0.199033909799932</v>
      </c>
      <c r="S82" s="44" t="s">
        <v>278</v>
      </c>
    </row>
    <row r="83" customFormat="false" ht="15" hidden="false" customHeight="false" outlineLevel="0" collapsed="false">
      <c r="A83" s="45" t="s">
        <v>35</v>
      </c>
      <c r="B83" s="45" t="n">
        <v>2030</v>
      </c>
      <c r="C83" s="45" t="s">
        <v>155</v>
      </c>
      <c r="D83" s="45" t="s">
        <v>245</v>
      </c>
      <c r="E83" s="45" t="s">
        <v>286</v>
      </c>
      <c r="F83" s="46" t="n">
        <v>1974</v>
      </c>
      <c r="G83" s="45" t="s">
        <v>273</v>
      </c>
      <c r="H83" s="45" t="s">
        <v>271</v>
      </c>
      <c r="I83" s="46" t="n">
        <v>7523</v>
      </c>
      <c r="J83" s="47" t="n">
        <v>17.1</v>
      </c>
      <c r="K83" s="47" t="n">
        <v>17.8</v>
      </c>
      <c r="L83" s="48" t="n">
        <v>1.25</v>
      </c>
      <c r="M83" s="49" t="n">
        <v>5</v>
      </c>
      <c r="N83" s="47" t="n">
        <v>14.7</v>
      </c>
      <c r="O83" s="48" t="n">
        <v>5.412</v>
      </c>
      <c r="P83" s="46" t="n">
        <f aca="false">SUM(I83:J83)+SUM(L83:O83)</f>
        <v>7566.462</v>
      </c>
      <c r="Q83" s="46" t="n">
        <v>5898</v>
      </c>
      <c r="R83" s="50" t="n">
        <f aca="false">IF(Q83="","",P83/Q83-1)</f>
        <v>0.282886063072228</v>
      </c>
      <c r="S83" s="45"/>
    </row>
    <row r="84" customFormat="false" ht="15" hidden="false" customHeight="false" outlineLevel="0" collapsed="false">
      <c r="A84" s="37" t="s">
        <v>35</v>
      </c>
      <c r="B84" s="37" t="n">
        <v>2030</v>
      </c>
      <c r="C84" s="37" t="s">
        <v>146</v>
      </c>
      <c r="D84" s="37" t="s">
        <v>240</v>
      </c>
      <c r="E84" s="37" t="s">
        <v>286</v>
      </c>
      <c r="F84" s="38" t="n">
        <v>3913</v>
      </c>
      <c r="G84" s="37" t="s">
        <v>270</v>
      </c>
      <c r="H84" s="37" t="s">
        <v>271</v>
      </c>
      <c r="I84" s="38" t="n">
        <v>7241.5</v>
      </c>
      <c r="J84" s="39" t="n">
        <v>46.3</v>
      </c>
      <c r="K84" s="39" t="n">
        <v>35.2</v>
      </c>
      <c r="L84" s="40" t="n">
        <v>2.48</v>
      </c>
      <c r="M84" s="41" t="n">
        <v>5</v>
      </c>
      <c r="N84" s="39" t="n">
        <v>14.7</v>
      </c>
      <c r="O84" s="40" t="n">
        <v>5.412</v>
      </c>
      <c r="P84" s="38" t="n">
        <f aca="false">SUM(I84:J84)+SUM(L84:O84)</f>
        <v>7315.392</v>
      </c>
      <c r="Q84" s="38" t="n">
        <v>5898</v>
      </c>
      <c r="R84" s="51" t="n">
        <f aca="false">IF(Q84="","",P84/Q84-1)</f>
        <v>0.240317395727365</v>
      </c>
      <c r="S84" s="37"/>
    </row>
    <row r="85" customFormat="false" ht="15" hidden="false" customHeight="false" outlineLevel="0" collapsed="false">
      <c r="A85" s="45" t="s">
        <v>35</v>
      </c>
      <c r="B85" s="45" t="n">
        <v>2050</v>
      </c>
      <c r="C85" s="45" t="s">
        <v>151</v>
      </c>
      <c r="D85" s="45" t="s">
        <v>243</v>
      </c>
      <c r="E85" s="45" t="s">
        <v>286</v>
      </c>
      <c r="F85" s="46" t="n">
        <v>6283</v>
      </c>
      <c r="G85" s="45" t="s">
        <v>270</v>
      </c>
      <c r="H85" s="45" t="s">
        <v>274</v>
      </c>
      <c r="I85" s="46" t="n">
        <v>2979.1</v>
      </c>
      <c r="J85" s="47" t="n">
        <v>27</v>
      </c>
      <c r="K85" s="47" t="n">
        <v>31.4</v>
      </c>
      <c r="L85" s="48" t="n">
        <v>4.26</v>
      </c>
      <c r="M85" s="49" t="n">
        <v>5</v>
      </c>
      <c r="N85" s="47" t="n">
        <v>14.7</v>
      </c>
      <c r="O85" s="48" t="n">
        <v>5.412</v>
      </c>
      <c r="P85" s="52" t="n">
        <f aca="false">SUM(I85:J85)+SUM(L85:O85)</f>
        <v>3035.472</v>
      </c>
      <c r="Q85" s="52" t="n">
        <v>2875.7</v>
      </c>
      <c r="R85" s="53" t="n">
        <f aca="false">IF(Q85="","",P85/Q85-1)</f>
        <v>0.0555593420732343</v>
      </c>
      <c r="S85" s="54" t="s">
        <v>278</v>
      </c>
    </row>
    <row r="86" customFormat="false" ht="15" hidden="false" customHeight="false" outlineLevel="0" collapsed="false">
      <c r="A86" s="37" t="s">
        <v>35</v>
      </c>
      <c r="B86" s="37" t="n">
        <v>2050</v>
      </c>
      <c r="C86" s="37" t="s">
        <v>155</v>
      </c>
      <c r="D86" s="37" t="s">
        <v>245</v>
      </c>
      <c r="E86" s="37" t="s">
        <v>286</v>
      </c>
      <c r="F86" s="38" t="n">
        <v>1974</v>
      </c>
      <c r="G86" s="37" t="s">
        <v>273</v>
      </c>
      <c r="H86" s="37" t="s">
        <v>274</v>
      </c>
      <c r="I86" s="38" t="n">
        <v>3148</v>
      </c>
      <c r="J86" s="39" t="n">
        <v>8.1</v>
      </c>
      <c r="K86" s="39" t="n">
        <v>9.9</v>
      </c>
      <c r="L86" s="40" t="n">
        <v>1.34</v>
      </c>
      <c r="M86" s="41" t="n">
        <v>5</v>
      </c>
      <c r="N86" s="39" t="n">
        <v>14.7</v>
      </c>
      <c r="O86" s="40" t="n">
        <v>5.412</v>
      </c>
      <c r="P86" s="38" t="n">
        <f aca="false">SUM(I86:J86)+SUM(L86:O86)</f>
        <v>3182.552</v>
      </c>
      <c r="Q86" s="38" t="n">
        <v>2875.7</v>
      </c>
      <c r="R86" s="51" t="n">
        <f aca="false">IF(Q86="","",P86/Q86-1)</f>
        <v>0.106705150050422</v>
      </c>
      <c r="S86" s="37"/>
    </row>
    <row r="87" customFormat="false" ht="15" hidden="false" customHeight="false" outlineLevel="0" collapsed="false">
      <c r="A87" s="45" t="s">
        <v>35</v>
      </c>
      <c r="B87" s="45" t="n">
        <v>2050</v>
      </c>
      <c r="C87" s="45" t="s">
        <v>146</v>
      </c>
      <c r="D87" s="45" t="s">
        <v>240</v>
      </c>
      <c r="E87" s="45" t="s">
        <v>286</v>
      </c>
      <c r="F87" s="46" t="n">
        <v>3913</v>
      </c>
      <c r="G87" s="45" t="s">
        <v>270</v>
      </c>
      <c r="H87" s="45" t="s">
        <v>274</v>
      </c>
      <c r="I87" s="46" t="n">
        <v>3083.1</v>
      </c>
      <c r="J87" s="47" t="n">
        <v>20.1</v>
      </c>
      <c r="K87" s="47" t="n">
        <v>19.6</v>
      </c>
      <c r="L87" s="48" t="n">
        <v>2.65</v>
      </c>
      <c r="M87" s="49" t="n">
        <v>5</v>
      </c>
      <c r="N87" s="47" t="n">
        <v>14.7</v>
      </c>
      <c r="O87" s="48" t="n">
        <v>5.412</v>
      </c>
      <c r="P87" s="46" t="n">
        <f aca="false">SUM(I87:J87)+SUM(L87:O87)</f>
        <v>3130.962</v>
      </c>
      <c r="Q87" s="46" t="n">
        <v>2875.7</v>
      </c>
      <c r="R87" s="50" t="n">
        <f aca="false">IF(Q87="","",P87/Q87-1)</f>
        <v>0.088765170219425</v>
      </c>
      <c r="S87" s="45"/>
    </row>
    <row r="88" customFormat="false" ht="15" hidden="false" customHeight="false" outlineLevel="0" collapsed="false">
      <c r="A88" s="37" t="s">
        <v>75</v>
      </c>
      <c r="B88" s="37" t="n">
        <v>2030</v>
      </c>
      <c r="C88" s="37" t="s">
        <v>151</v>
      </c>
      <c r="D88" s="37" t="s">
        <v>243</v>
      </c>
      <c r="E88" s="37" t="s">
        <v>287</v>
      </c>
      <c r="F88" s="38" t="n">
        <v>6266</v>
      </c>
      <c r="G88" s="37" t="s">
        <v>270</v>
      </c>
      <c r="H88" s="37" t="s">
        <v>271</v>
      </c>
      <c r="I88" s="38" t="n">
        <v>6982.1</v>
      </c>
      <c r="J88" s="39" t="n">
        <v>60.6</v>
      </c>
      <c r="K88" s="39" t="n">
        <v>56.4</v>
      </c>
      <c r="L88" s="40" t="n">
        <v>3.98</v>
      </c>
      <c r="M88" s="41" t="n">
        <v>5</v>
      </c>
      <c r="N88" s="39" t="n">
        <v>3.2</v>
      </c>
      <c r="O88" s="40" t="n">
        <v>5.412</v>
      </c>
      <c r="P88" s="42" t="n">
        <f aca="false">SUM(I88:J88)+SUM(L88:O88)</f>
        <v>7060.292</v>
      </c>
      <c r="Q88" s="42" t="n">
        <v>6390.2</v>
      </c>
      <c r="R88" s="43" t="n">
        <f aca="false">IF(Q88="","",P88/Q88-1)</f>
        <v>0.104862445619855</v>
      </c>
      <c r="S88" s="44" t="s">
        <v>278</v>
      </c>
    </row>
    <row r="89" customFormat="false" ht="15" hidden="false" customHeight="false" outlineLevel="0" collapsed="false">
      <c r="A89" s="45" t="s">
        <v>75</v>
      </c>
      <c r="B89" s="45" t="n">
        <v>2030</v>
      </c>
      <c r="C89" s="45" t="s">
        <v>155</v>
      </c>
      <c r="D89" s="45" t="s">
        <v>245</v>
      </c>
      <c r="E89" s="45" t="s">
        <v>287</v>
      </c>
      <c r="F89" s="46" t="n">
        <v>1957</v>
      </c>
      <c r="G89" s="45" t="s">
        <v>273</v>
      </c>
      <c r="H89" s="45" t="s">
        <v>271</v>
      </c>
      <c r="I89" s="46" t="n">
        <v>7523</v>
      </c>
      <c r="J89" s="47" t="n">
        <v>17</v>
      </c>
      <c r="K89" s="47" t="n">
        <v>17.6</v>
      </c>
      <c r="L89" s="48" t="n">
        <v>1.24</v>
      </c>
      <c r="M89" s="49" t="n">
        <v>5</v>
      </c>
      <c r="N89" s="47" t="n">
        <v>3.2</v>
      </c>
      <c r="O89" s="48" t="n">
        <v>5.412</v>
      </c>
      <c r="P89" s="46" t="n">
        <f aca="false">SUM(I89:J89)+SUM(L89:O89)</f>
        <v>7554.852</v>
      </c>
      <c r="Q89" s="46" t="n">
        <v>6390.2</v>
      </c>
      <c r="R89" s="50" t="n">
        <f aca="false">IF(Q89="","",P89/Q89-1)</f>
        <v>0.182255954430221</v>
      </c>
      <c r="S89" s="45"/>
    </row>
    <row r="90" customFormat="false" ht="15" hidden="false" customHeight="false" outlineLevel="0" collapsed="false">
      <c r="A90" s="37" t="s">
        <v>75</v>
      </c>
      <c r="B90" s="37" t="n">
        <v>2030</v>
      </c>
      <c r="C90" s="37" t="s">
        <v>146</v>
      </c>
      <c r="D90" s="37" t="s">
        <v>240</v>
      </c>
      <c r="E90" s="37" t="s">
        <v>287</v>
      </c>
      <c r="F90" s="38" t="n">
        <v>3896</v>
      </c>
      <c r="G90" s="37" t="s">
        <v>270</v>
      </c>
      <c r="H90" s="37" t="s">
        <v>271</v>
      </c>
      <c r="I90" s="38" t="n">
        <v>7241.5</v>
      </c>
      <c r="J90" s="39" t="n">
        <v>46.2</v>
      </c>
      <c r="K90" s="39" t="n">
        <v>35.1</v>
      </c>
      <c r="L90" s="40" t="n">
        <v>2.47</v>
      </c>
      <c r="M90" s="41" t="n">
        <v>5</v>
      </c>
      <c r="N90" s="39" t="n">
        <v>3.2</v>
      </c>
      <c r="O90" s="40" t="n">
        <v>5.412</v>
      </c>
      <c r="P90" s="38" t="n">
        <f aca="false">SUM(I90:J90)+SUM(L90:O90)</f>
        <v>7303.782</v>
      </c>
      <c r="Q90" s="38" t="n">
        <v>6390.2</v>
      </c>
      <c r="R90" s="51" t="n">
        <f aca="false">IF(Q90="","",P90/Q90-1)</f>
        <v>0.142966104347282</v>
      </c>
      <c r="S90" s="37"/>
    </row>
    <row r="91" customFormat="false" ht="15" hidden="false" customHeight="false" outlineLevel="0" collapsed="false">
      <c r="A91" s="45" t="s">
        <v>75</v>
      </c>
      <c r="B91" s="45" t="n">
        <v>2050</v>
      </c>
      <c r="C91" s="45" t="s">
        <v>151</v>
      </c>
      <c r="D91" s="45" t="s">
        <v>243</v>
      </c>
      <c r="E91" s="45" t="s">
        <v>287</v>
      </c>
      <c r="F91" s="46" t="n">
        <v>6266</v>
      </c>
      <c r="G91" s="45" t="s">
        <v>270</v>
      </c>
      <c r="H91" s="45" t="s">
        <v>274</v>
      </c>
      <c r="I91" s="46" t="n">
        <v>2979.1</v>
      </c>
      <c r="J91" s="47" t="n">
        <v>26.9</v>
      </c>
      <c r="K91" s="47" t="n">
        <v>31.3</v>
      </c>
      <c r="L91" s="48" t="n">
        <v>4.25</v>
      </c>
      <c r="M91" s="49" t="n">
        <v>5</v>
      </c>
      <c r="N91" s="47" t="n">
        <v>3.2</v>
      </c>
      <c r="O91" s="48" t="n">
        <v>5.412</v>
      </c>
      <c r="P91" s="52" t="n">
        <f aca="false">SUM(I91:J91)+SUM(L91:O91)</f>
        <v>3023.862</v>
      </c>
      <c r="Q91" s="52" t="n">
        <v>3373.4</v>
      </c>
      <c r="R91" s="53" t="n">
        <f aca="false">IF(Q91="","",P91/Q91-1)</f>
        <v>-0.103615936443944</v>
      </c>
      <c r="S91" s="54" t="s">
        <v>272</v>
      </c>
    </row>
    <row r="92" customFormat="false" ht="15" hidden="false" customHeight="false" outlineLevel="0" collapsed="false">
      <c r="A92" s="37" t="s">
        <v>75</v>
      </c>
      <c r="B92" s="37" t="n">
        <v>2050</v>
      </c>
      <c r="C92" s="37" t="s">
        <v>155</v>
      </c>
      <c r="D92" s="37" t="s">
        <v>245</v>
      </c>
      <c r="E92" s="37" t="s">
        <v>287</v>
      </c>
      <c r="F92" s="38" t="n">
        <v>1957</v>
      </c>
      <c r="G92" s="37" t="s">
        <v>273</v>
      </c>
      <c r="H92" s="37" t="s">
        <v>274</v>
      </c>
      <c r="I92" s="38" t="n">
        <v>3148</v>
      </c>
      <c r="J92" s="39" t="n">
        <v>8.1</v>
      </c>
      <c r="K92" s="39" t="n">
        <v>9.8</v>
      </c>
      <c r="L92" s="40" t="n">
        <v>1.33</v>
      </c>
      <c r="M92" s="41" t="n">
        <v>5</v>
      </c>
      <c r="N92" s="39" t="n">
        <v>3.2</v>
      </c>
      <c r="O92" s="40" t="n">
        <v>5.412</v>
      </c>
      <c r="P92" s="38" t="n">
        <f aca="false">SUM(I92:J92)+SUM(L92:O92)</f>
        <v>3171.042</v>
      </c>
      <c r="Q92" s="38" t="n">
        <v>3373.4</v>
      </c>
      <c r="R92" s="51" t="n">
        <f aca="false">IF(Q92="","",P92/Q92-1)</f>
        <v>-0.0599863639058517</v>
      </c>
      <c r="S92" s="37"/>
    </row>
    <row r="93" customFormat="false" ht="15" hidden="false" customHeight="false" outlineLevel="0" collapsed="false">
      <c r="A93" s="45" t="s">
        <v>75</v>
      </c>
      <c r="B93" s="45" t="n">
        <v>2050</v>
      </c>
      <c r="C93" s="45" t="s">
        <v>146</v>
      </c>
      <c r="D93" s="45" t="s">
        <v>240</v>
      </c>
      <c r="E93" s="45" t="s">
        <v>287</v>
      </c>
      <c r="F93" s="46" t="n">
        <v>3896</v>
      </c>
      <c r="G93" s="45" t="s">
        <v>270</v>
      </c>
      <c r="H93" s="45" t="s">
        <v>274</v>
      </c>
      <c r="I93" s="46" t="n">
        <v>3083.1</v>
      </c>
      <c r="J93" s="47" t="n">
        <v>20</v>
      </c>
      <c r="K93" s="47" t="n">
        <v>19.5</v>
      </c>
      <c r="L93" s="48" t="n">
        <v>2.64</v>
      </c>
      <c r="M93" s="49" t="n">
        <v>5</v>
      </c>
      <c r="N93" s="47" t="n">
        <v>3.2</v>
      </c>
      <c r="O93" s="48" t="n">
        <v>5.412</v>
      </c>
      <c r="P93" s="46" t="n">
        <f aca="false">SUM(I93:J93)+SUM(L93:O93)</f>
        <v>3119.352</v>
      </c>
      <c r="Q93" s="46" t="n">
        <v>3373.4</v>
      </c>
      <c r="R93" s="50" t="n">
        <f aca="false">IF(Q93="","",P93/Q93-1)</f>
        <v>-0.0753091836129721</v>
      </c>
      <c r="S93" s="45"/>
    </row>
    <row r="94" customFormat="false" ht="15" hidden="false" customHeight="false" outlineLevel="0" collapsed="false">
      <c r="A94" s="37" t="s">
        <v>59</v>
      </c>
      <c r="B94" s="37" t="n">
        <v>2030</v>
      </c>
      <c r="C94" s="37" t="s">
        <v>151</v>
      </c>
      <c r="D94" s="37" t="s">
        <v>243</v>
      </c>
      <c r="E94" s="37" t="s">
        <v>288</v>
      </c>
      <c r="F94" s="38" t="n">
        <v>3600</v>
      </c>
      <c r="G94" s="37" t="s">
        <v>270</v>
      </c>
      <c r="H94" s="37" t="s">
        <v>271</v>
      </c>
      <c r="I94" s="38" t="n">
        <v>6982.1</v>
      </c>
      <c r="J94" s="39" t="n">
        <v>44.4</v>
      </c>
      <c r="K94" s="39" t="n">
        <v>32.4</v>
      </c>
      <c r="L94" s="40" t="n">
        <v>2.28</v>
      </c>
      <c r="M94" s="41" t="n">
        <v>5</v>
      </c>
      <c r="N94" s="39" t="n">
        <v>3.2</v>
      </c>
      <c r="O94" s="40" t="n">
        <v>5.412</v>
      </c>
      <c r="P94" s="42" t="n">
        <f aca="false">SUM(I94:J94)+SUM(L94:O94)</f>
        <v>7042.392</v>
      </c>
      <c r="Q94" s="42" t="n">
        <v>7980.2</v>
      </c>
      <c r="R94" s="43" t="n">
        <f aca="false">IF(Q94="","",P94/Q94-1)</f>
        <v>-0.11751685421418</v>
      </c>
      <c r="S94" s="44" t="s">
        <v>272</v>
      </c>
    </row>
    <row r="95" customFormat="false" ht="15" hidden="false" customHeight="false" outlineLevel="0" collapsed="false">
      <c r="A95" s="45" t="s">
        <v>59</v>
      </c>
      <c r="B95" s="45" t="n">
        <v>2030</v>
      </c>
      <c r="C95" s="45" t="s">
        <v>155</v>
      </c>
      <c r="D95" s="45" t="s">
        <v>245</v>
      </c>
      <c r="E95" s="45" t="s">
        <v>288</v>
      </c>
      <c r="F95" s="46" t="n">
        <v>2488</v>
      </c>
      <c r="G95" s="45" t="s">
        <v>273</v>
      </c>
      <c r="H95" s="45" t="s">
        <v>271</v>
      </c>
      <c r="I95" s="46" t="n">
        <v>7523</v>
      </c>
      <c r="J95" s="47" t="n">
        <v>20.2</v>
      </c>
      <c r="K95" s="47" t="n">
        <v>22.4</v>
      </c>
      <c r="L95" s="48" t="n">
        <v>1.58</v>
      </c>
      <c r="M95" s="49" t="n">
        <v>5</v>
      </c>
      <c r="N95" s="47" t="n">
        <v>3.2</v>
      </c>
      <c r="O95" s="48" t="n">
        <v>5.412</v>
      </c>
      <c r="P95" s="46" t="n">
        <f aca="false">SUM(I95:J95)+SUM(L95:O95)</f>
        <v>7558.392</v>
      </c>
      <c r="Q95" s="46" t="n">
        <v>7980.2</v>
      </c>
      <c r="R95" s="50" t="n">
        <f aca="false">IF(Q95="","",P95/Q95-1)</f>
        <v>-0.0528568206310619</v>
      </c>
      <c r="S95" s="45"/>
    </row>
    <row r="96" customFormat="false" ht="15" hidden="false" customHeight="false" outlineLevel="0" collapsed="false">
      <c r="A96" s="37" t="s">
        <v>59</v>
      </c>
      <c r="B96" s="37" t="n">
        <v>2030</v>
      </c>
      <c r="C96" s="37" t="s">
        <v>146</v>
      </c>
      <c r="D96" s="37" t="s">
        <v>240</v>
      </c>
      <c r="E96" s="37" t="s">
        <v>288</v>
      </c>
      <c r="F96" s="38" t="n">
        <v>1230</v>
      </c>
      <c r="G96" s="37" t="s">
        <v>270</v>
      </c>
      <c r="H96" s="37" t="s">
        <v>271</v>
      </c>
      <c r="I96" s="38" t="n">
        <v>7241.5</v>
      </c>
      <c r="J96" s="39" t="n">
        <v>30</v>
      </c>
      <c r="K96" s="39" t="n">
        <v>11.1</v>
      </c>
      <c r="L96" s="40" t="n">
        <v>0.78</v>
      </c>
      <c r="M96" s="41" t="n">
        <v>5</v>
      </c>
      <c r="N96" s="39" t="n">
        <v>3.2</v>
      </c>
      <c r="O96" s="40" t="n">
        <v>5.412</v>
      </c>
      <c r="P96" s="38" t="n">
        <f aca="false">SUM(I96:J96)+SUM(L96:O96)</f>
        <v>7285.892</v>
      </c>
      <c r="Q96" s="38" t="n">
        <v>7980.2</v>
      </c>
      <c r="R96" s="51" t="n">
        <f aca="false">IF(Q96="","",P96/Q96-1)</f>
        <v>-0.0870038344903636</v>
      </c>
      <c r="S96" s="37"/>
    </row>
    <row r="97" customFormat="false" ht="15" hidden="false" customHeight="false" outlineLevel="0" collapsed="false">
      <c r="A97" s="45" t="s">
        <v>59</v>
      </c>
      <c r="B97" s="45" t="n">
        <v>2050</v>
      </c>
      <c r="C97" s="45" t="s">
        <v>151</v>
      </c>
      <c r="D97" s="45" t="s">
        <v>243</v>
      </c>
      <c r="E97" s="45" t="s">
        <v>288</v>
      </c>
      <c r="F97" s="46" t="n">
        <v>3600</v>
      </c>
      <c r="G97" s="45" t="s">
        <v>270</v>
      </c>
      <c r="H97" s="45" t="s">
        <v>274</v>
      </c>
      <c r="I97" s="46" t="n">
        <v>2979.1</v>
      </c>
      <c r="J97" s="47" t="n">
        <v>19.2</v>
      </c>
      <c r="K97" s="47" t="n">
        <v>18</v>
      </c>
      <c r="L97" s="48" t="n">
        <v>2.44</v>
      </c>
      <c r="M97" s="49" t="n">
        <v>5</v>
      </c>
      <c r="N97" s="47" t="n">
        <v>3.2</v>
      </c>
      <c r="O97" s="48" t="n">
        <v>5.412</v>
      </c>
      <c r="P97" s="52" t="n">
        <f aca="false">SUM(I97:J97)+SUM(L97:O97)</f>
        <v>3014.352</v>
      </c>
      <c r="Q97" s="52" t="n">
        <v>3198.9</v>
      </c>
      <c r="R97" s="53" t="n">
        <f aca="false">IF(Q97="","",P97/Q97-1)</f>
        <v>-0.0576910813092001</v>
      </c>
      <c r="S97" s="54" t="s">
        <v>272</v>
      </c>
    </row>
    <row r="98" customFormat="false" ht="15" hidden="false" customHeight="false" outlineLevel="0" collapsed="false">
      <c r="A98" s="37" t="s">
        <v>59</v>
      </c>
      <c r="B98" s="37" t="n">
        <v>2050</v>
      </c>
      <c r="C98" s="37" t="s">
        <v>155</v>
      </c>
      <c r="D98" s="37" t="s">
        <v>245</v>
      </c>
      <c r="E98" s="37" t="s">
        <v>288</v>
      </c>
      <c r="F98" s="38" t="n">
        <v>2488</v>
      </c>
      <c r="G98" s="37" t="s">
        <v>273</v>
      </c>
      <c r="H98" s="37" t="s">
        <v>274</v>
      </c>
      <c r="I98" s="38" t="n">
        <v>3148</v>
      </c>
      <c r="J98" s="39" t="n">
        <v>9.6</v>
      </c>
      <c r="K98" s="39" t="n">
        <v>12.4</v>
      </c>
      <c r="L98" s="40" t="n">
        <v>1.69</v>
      </c>
      <c r="M98" s="41" t="n">
        <v>5</v>
      </c>
      <c r="N98" s="39" t="n">
        <v>3.2</v>
      </c>
      <c r="O98" s="40" t="n">
        <v>5.412</v>
      </c>
      <c r="P98" s="38" t="n">
        <f aca="false">SUM(I98:J98)+SUM(L98:O98)</f>
        <v>3172.902</v>
      </c>
      <c r="Q98" s="38" t="n">
        <v>3198.9</v>
      </c>
      <c r="R98" s="51" t="n">
        <f aca="false">IF(Q98="","",P98/Q98-1)</f>
        <v>-0.00812716871424557</v>
      </c>
      <c r="S98" s="37"/>
    </row>
    <row r="99" customFormat="false" ht="15" hidden="false" customHeight="false" outlineLevel="0" collapsed="false">
      <c r="A99" s="45" t="s">
        <v>59</v>
      </c>
      <c r="B99" s="45" t="n">
        <v>2050</v>
      </c>
      <c r="C99" s="45" t="s">
        <v>146</v>
      </c>
      <c r="D99" s="45" t="s">
        <v>240</v>
      </c>
      <c r="E99" s="45" t="s">
        <v>288</v>
      </c>
      <c r="F99" s="46" t="n">
        <v>1230</v>
      </c>
      <c r="G99" s="45" t="s">
        <v>270</v>
      </c>
      <c r="H99" s="45" t="s">
        <v>274</v>
      </c>
      <c r="I99" s="46" t="n">
        <v>3083.1</v>
      </c>
      <c r="J99" s="47" t="n">
        <v>12.3</v>
      </c>
      <c r="K99" s="47" t="n">
        <v>6.1</v>
      </c>
      <c r="L99" s="48" t="n">
        <v>0.83</v>
      </c>
      <c r="M99" s="49" t="n">
        <v>5</v>
      </c>
      <c r="N99" s="47" t="n">
        <v>3.2</v>
      </c>
      <c r="O99" s="48" t="n">
        <v>5.412</v>
      </c>
      <c r="P99" s="46" t="n">
        <f aca="false">SUM(I99:J99)+SUM(L99:O99)</f>
        <v>3109.842</v>
      </c>
      <c r="Q99" s="46" t="n">
        <v>3198.9</v>
      </c>
      <c r="R99" s="50" t="n">
        <f aca="false">IF(Q99="","",P99/Q99-1)</f>
        <v>-0.0278401950670543</v>
      </c>
      <c r="S99" s="45"/>
    </row>
    <row r="100" customFormat="false" ht="15" hidden="false" customHeight="false" outlineLevel="0" collapsed="false">
      <c r="A100" s="37" t="s">
        <v>122</v>
      </c>
      <c r="B100" s="37" t="n">
        <v>2030</v>
      </c>
      <c r="C100" s="37" t="s">
        <v>151</v>
      </c>
      <c r="D100" s="37" t="s">
        <v>243</v>
      </c>
      <c r="E100" s="37" t="s">
        <v>289</v>
      </c>
      <c r="F100" s="38" t="n">
        <v>4522</v>
      </c>
      <c r="G100" s="37" t="s">
        <v>270</v>
      </c>
      <c r="H100" s="37" t="s">
        <v>271</v>
      </c>
      <c r="I100" s="38" t="n">
        <v>6982.1</v>
      </c>
      <c r="J100" s="39" t="n">
        <v>50</v>
      </c>
      <c r="K100" s="39" t="n">
        <v>40.7</v>
      </c>
      <c r="L100" s="40" t="n">
        <v>2.87</v>
      </c>
      <c r="M100" s="41" t="n">
        <v>5</v>
      </c>
      <c r="N100" s="39" t="n">
        <v>16.1</v>
      </c>
      <c r="O100" s="40" t="n">
        <v>5.412</v>
      </c>
      <c r="P100" s="42" t="n">
        <f aca="false">SUM(I100:J100)+SUM(L100:O100)</f>
        <v>7061.482</v>
      </c>
      <c r="Q100" s="42" t="n">
        <v>17261.4</v>
      </c>
      <c r="R100" s="43" t="n">
        <f aca="false">IF(Q100="","",P100/Q100-1)</f>
        <v>-0.590909080375868</v>
      </c>
      <c r="S100" s="44" t="s">
        <v>272</v>
      </c>
    </row>
    <row r="101" customFormat="false" ht="15" hidden="false" customHeight="false" outlineLevel="0" collapsed="false">
      <c r="A101" s="45" t="s">
        <v>122</v>
      </c>
      <c r="B101" s="45" t="n">
        <v>2030</v>
      </c>
      <c r="C101" s="45" t="s">
        <v>155</v>
      </c>
      <c r="D101" s="45" t="s">
        <v>245</v>
      </c>
      <c r="E101" s="45" t="s">
        <v>289</v>
      </c>
      <c r="F101" s="46" t="n">
        <v>2260</v>
      </c>
      <c r="G101" s="45" t="s">
        <v>273</v>
      </c>
      <c r="H101" s="45" t="s">
        <v>271</v>
      </c>
      <c r="I101" s="46" t="n">
        <v>7523</v>
      </c>
      <c r="J101" s="47" t="n">
        <v>18.8</v>
      </c>
      <c r="K101" s="47" t="n">
        <v>20.3</v>
      </c>
      <c r="L101" s="48" t="n">
        <v>1.43</v>
      </c>
      <c r="M101" s="49" t="n">
        <v>5</v>
      </c>
      <c r="N101" s="47" t="n">
        <v>16.1</v>
      </c>
      <c r="O101" s="48" t="n">
        <v>5.412</v>
      </c>
      <c r="P101" s="46" t="n">
        <f aca="false">SUM(I101:J101)+SUM(L101:O101)</f>
        <v>7569.742</v>
      </c>
      <c r="Q101" s="46" t="n">
        <v>17261.4</v>
      </c>
      <c r="R101" s="50" t="n">
        <f aca="false">IF(Q101="","",P101/Q101-1)</f>
        <v>-0.561464191780505</v>
      </c>
      <c r="S101" s="45"/>
    </row>
    <row r="102" customFormat="false" ht="15" hidden="false" customHeight="false" outlineLevel="0" collapsed="false">
      <c r="A102" s="37" t="s">
        <v>122</v>
      </c>
      <c r="B102" s="37" t="n">
        <v>2030</v>
      </c>
      <c r="C102" s="37" t="s">
        <v>146</v>
      </c>
      <c r="D102" s="37" t="s">
        <v>240</v>
      </c>
      <c r="E102" s="37" t="s">
        <v>289</v>
      </c>
      <c r="F102" s="38" t="n">
        <v>2152</v>
      </c>
      <c r="G102" s="37" t="s">
        <v>270</v>
      </c>
      <c r="H102" s="37" t="s">
        <v>271</v>
      </c>
      <c r="I102" s="38" t="n">
        <v>7241.5</v>
      </c>
      <c r="J102" s="39" t="n">
        <v>35.6</v>
      </c>
      <c r="K102" s="39" t="n">
        <v>19.4</v>
      </c>
      <c r="L102" s="40" t="n">
        <v>1.37</v>
      </c>
      <c r="M102" s="41" t="n">
        <v>5</v>
      </c>
      <c r="N102" s="39" t="n">
        <v>16.1</v>
      </c>
      <c r="O102" s="40" t="n">
        <v>5.412</v>
      </c>
      <c r="P102" s="38" t="n">
        <f aca="false">SUM(I102:J102)+SUM(L102:O102)</f>
        <v>7304.982</v>
      </c>
      <c r="Q102" s="38" t="n">
        <v>17261.4</v>
      </c>
      <c r="R102" s="51" t="n">
        <f aca="false">IF(Q102="","",P102/Q102-1)</f>
        <v>-0.576802460982307</v>
      </c>
      <c r="S102" s="37"/>
    </row>
    <row r="103" customFormat="false" ht="15" hidden="false" customHeight="false" outlineLevel="0" collapsed="false">
      <c r="A103" s="45" t="s">
        <v>122</v>
      </c>
      <c r="B103" s="45" t="n">
        <v>2050</v>
      </c>
      <c r="C103" s="45" t="s">
        <v>151</v>
      </c>
      <c r="D103" s="45" t="s">
        <v>243</v>
      </c>
      <c r="E103" s="45" t="s">
        <v>289</v>
      </c>
      <c r="F103" s="46" t="n">
        <v>4522</v>
      </c>
      <c r="G103" s="45" t="s">
        <v>270</v>
      </c>
      <c r="H103" s="45" t="s">
        <v>274</v>
      </c>
      <c r="I103" s="46" t="n">
        <v>2979.1</v>
      </c>
      <c r="J103" s="47" t="n">
        <v>21.8</v>
      </c>
      <c r="K103" s="47" t="n">
        <v>22.6</v>
      </c>
      <c r="L103" s="48" t="n">
        <v>3.06</v>
      </c>
      <c r="M103" s="49" t="n">
        <v>5</v>
      </c>
      <c r="N103" s="47" t="n">
        <v>16.1</v>
      </c>
      <c r="O103" s="48" t="n">
        <v>5.412</v>
      </c>
      <c r="P103" s="52" t="n">
        <f aca="false">SUM(I103:J103)+SUM(L103:O103)</f>
        <v>3030.472</v>
      </c>
      <c r="Q103" s="52" t="n">
        <v>5166.1</v>
      </c>
      <c r="R103" s="53" t="n">
        <f aca="false">IF(Q103="","",P103/Q103-1)</f>
        <v>-0.413392694682643</v>
      </c>
      <c r="S103" s="54" t="s">
        <v>272</v>
      </c>
    </row>
    <row r="104" customFormat="false" ht="15" hidden="false" customHeight="false" outlineLevel="0" collapsed="false">
      <c r="A104" s="37" t="s">
        <v>122</v>
      </c>
      <c r="B104" s="37" t="n">
        <v>2050</v>
      </c>
      <c r="C104" s="37" t="s">
        <v>155</v>
      </c>
      <c r="D104" s="37" t="s">
        <v>245</v>
      </c>
      <c r="E104" s="37" t="s">
        <v>289</v>
      </c>
      <c r="F104" s="38" t="n">
        <v>2260</v>
      </c>
      <c r="G104" s="37" t="s">
        <v>273</v>
      </c>
      <c r="H104" s="37" t="s">
        <v>274</v>
      </c>
      <c r="I104" s="38" t="n">
        <v>3148</v>
      </c>
      <c r="J104" s="39" t="n">
        <v>8.9</v>
      </c>
      <c r="K104" s="39" t="n">
        <v>11.3</v>
      </c>
      <c r="L104" s="40" t="n">
        <v>1.53</v>
      </c>
      <c r="M104" s="41" t="n">
        <v>5</v>
      </c>
      <c r="N104" s="39" t="n">
        <v>16.1</v>
      </c>
      <c r="O104" s="40" t="n">
        <v>5.412</v>
      </c>
      <c r="P104" s="38" t="n">
        <f aca="false">SUM(I104:J104)+SUM(L104:O104)</f>
        <v>3184.942</v>
      </c>
      <c r="Q104" s="38" t="n">
        <v>5166.1</v>
      </c>
      <c r="R104" s="51" t="n">
        <f aca="false">IF(Q104="","",P104/Q104-1)</f>
        <v>-0.383491995896324</v>
      </c>
      <c r="S104" s="37"/>
    </row>
    <row r="105" customFormat="false" ht="15" hidden="false" customHeight="false" outlineLevel="0" collapsed="false">
      <c r="A105" s="45" t="s">
        <v>122</v>
      </c>
      <c r="B105" s="45" t="n">
        <v>2050</v>
      </c>
      <c r="C105" s="45" t="s">
        <v>146</v>
      </c>
      <c r="D105" s="45" t="s">
        <v>240</v>
      </c>
      <c r="E105" s="45" t="s">
        <v>289</v>
      </c>
      <c r="F105" s="46" t="n">
        <v>2152</v>
      </c>
      <c r="G105" s="45" t="s">
        <v>270</v>
      </c>
      <c r="H105" s="45" t="s">
        <v>274</v>
      </c>
      <c r="I105" s="46" t="n">
        <v>3083.1</v>
      </c>
      <c r="J105" s="47" t="n">
        <v>15</v>
      </c>
      <c r="K105" s="47" t="n">
        <v>10.8</v>
      </c>
      <c r="L105" s="48" t="n">
        <v>1.46</v>
      </c>
      <c r="M105" s="49" t="n">
        <v>5</v>
      </c>
      <c r="N105" s="47" t="n">
        <v>16.1</v>
      </c>
      <c r="O105" s="48" t="n">
        <v>5.412</v>
      </c>
      <c r="P105" s="46" t="n">
        <f aca="false">SUM(I105:J105)+SUM(L105:O105)</f>
        <v>3126.072</v>
      </c>
      <c r="Q105" s="46" t="n">
        <v>5166.1</v>
      </c>
      <c r="R105" s="50" t="n">
        <f aca="false">IF(Q105="","",P105/Q105-1)</f>
        <v>-0.394887439267533</v>
      </c>
      <c r="S105" s="45"/>
    </row>
    <row r="106" customFormat="false" ht="15" hidden="false" customHeight="false" outlineLevel="0" collapsed="false">
      <c r="A106" s="37" t="s">
        <v>102</v>
      </c>
      <c r="B106" s="37" t="n">
        <v>2030</v>
      </c>
      <c r="C106" s="37" t="s">
        <v>151</v>
      </c>
      <c r="D106" s="37" t="s">
        <v>243</v>
      </c>
      <c r="E106" s="37" t="s">
        <v>289</v>
      </c>
      <c r="F106" s="38" t="n">
        <v>4522</v>
      </c>
      <c r="G106" s="37" t="s">
        <v>270</v>
      </c>
      <c r="H106" s="37" t="s">
        <v>271</v>
      </c>
      <c r="I106" s="38" t="n">
        <v>6982.1</v>
      </c>
      <c r="J106" s="39" t="n">
        <v>50</v>
      </c>
      <c r="K106" s="39" t="n">
        <v>40.7</v>
      </c>
      <c r="L106" s="40" t="n">
        <v>2.87</v>
      </c>
      <c r="M106" s="41" t="n">
        <v>5</v>
      </c>
      <c r="N106" s="39" t="n">
        <v>53.8</v>
      </c>
      <c r="O106" s="40" t="n">
        <v>5.412</v>
      </c>
      <c r="P106" s="42" t="n">
        <f aca="false">SUM(I106:J106)+SUM(L106:O106)</f>
        <v>7099.182</v>
      </c>
      <c r="Q106" s="42" t="n">
        <v>8931.8</v>
      </c>
      <c r="R106" s="43" t="n">
        <f aca="false">IF(Q106="","",P106/Q106-1)</f>
        <v>-0.205179023265187</v>
      </c>
      <c r="S106" s="44" t="s">
        <v>272</v>
      </c>
    </row>
    <row r="107" customFormat="false" ht="15" hidden="false" customHeight="false" outlineLevel="0" collapsed="false">
      <c r="A107" s="45" t="s">
        <v>102</v>
      </c>
      <c r="B107" s="45" t="n">
        <v>2030</v>
      </c>
      <c r="C107" s="45" t="s">
        <v>155</v>
      </c>
      <c r="D107" s="45" t="s">
        <v>245</v>
      </c>
      <c r="E107" s="45" t="s">
        <v>289</v>
      </c>
      <c r="F107" s="46" t="n">
        <v>2260</v>
      </c>
      <c r="G107" s="45" t="s">
        <v>273</v>
      </c>
      <c r="H107" s="45" t="s">
        <v>271</v>
      </c>
      <c r="I107" s="46" t="n">
        <v>7523</v>
      </c>
      <c r="J107" s="47" t="n">
        <v>18.8</v>
      </c>
      <c r="K107" s="47" t="n">
        <v>20.3</v>
      </c>
      <c r="L107" s="48" t="n">
        <v>1.43</v>
      </c>
      <c r="M107" s="49" t="n">
        <v>5</v>
      </c>
      <c r="N107" s="47" t="n">
        <v>53.8</v>
      </c>
      <c r="O107" s="48" t="n">
        <v>5.412</v>
      </c>
      <c r="P107" s="46" t="n">
        <f aca="false">SUM(I107:J107)+SUM(L107:O107)</f>
        <v>7607.442</v>
      </c>
      <c r="Q107" s="46" t="n">
        <v>8931.8</v>
      </c>
      <c r="R107" s="50" t="n">
        <f aca="false">IF(Q107="","",P107/Q107-1)</f>
        <v>-0.148274479948051</v>
      </c>
      <c r="S107" s="45"/>
    </row>
    <row r="108" customFormat="false" ht="15" hidden="false" customHeight="false" outlineLevel="0" collapsed="false">
      <c r="A108" s="37" t="s">
        <v>102</v>
      </c>
      <c r="B108" s="37" t="n">
        <v>2030</v>
      </c>
      <c r="C108" s="37" t="s">
        <v>146</v>
      </c>
      <c r="D108" s="37" t="s">
        <v>240</v>
      </c>
      <c r="E108" s="37" t="s">
        <v>289</v>
      </c>
      <c r="F108" s="38" t="n">
        <v>2152</v>
      </c>
      <c r="G108" s="37" t="s">
        <v>270</v>
      </c>
      <c r="H108" s="37" t="s">
        <v>271</v>
      </c>
      <c r="I108" s="38" t="n">
        <v>7241.5</v>
      </c>
      <c r="J108" s="39" t="n">
        <v>35.6</v>
      </c>
      <c r="K108" s="39" t="n">
        <v>19.4</v>
      </c>
      <c r="L108" s="40" t="n">
        <v>1.37</v>
      </c>
      <c r="M108" s="41" t="n">
        <v>5</v>
      </c>
      <c r="N108" s="39" t="n">
        <v>53.8</v>
      </c>
      <c r="O108" s="40" t="n">
        <v>5.412</v>
      </c>
      <c r="P108" s="38" t="n">
        <f aca="false">SUM(I108:J108)+SUM(L108:O108)</f>
        <v>7342.682</v>
      </c>
      <c r="Q108" s="38" t="n">
        <v>8931.8</v>
      </c>
      <c r="R108" s="51" t="n">
        <f aca="false">IF(Q108="","",P108/Q108-1)</f>
        <v>-0.177916881255738</v>
      </c>
      <c r="S108" s="37"/>
    </row>
    <row r="109" customFormat="false" ht="15" hidden="false" customHeight="false" outlineLevel="0" collapsed="false">
      <c r="A109" s="45" t="s">
        <v>102</v>
      </c>
      <c r="B109" s="45" t="n">
        <v>2050</v>
      </c>
      <c r="C109" s="45" t="s">
        <v>151</v>
      </c>
      <c r="D109" s="45" t="s">
        <v>243</v>
      </c>
      <c r="E109" s="45" t="s">
        <v>289</v>
      </c>
      <c r="F109" s="46" t="n">
        <v>4522</v>
      </c>
      <c r="G109" s="45" t="s">
        <v>270</v>
      </c>
      <c r="H109" s="45" t="s">
        <v>274</v>
      </c>
      <c r="I109" s="46" t="n">
        <v>2979.1</v>
      </c>
      <c r="J109" s="47" t="n">
        <v>21.8</v>
      </c>
      <c r="K109" s="47" t="n">
        <v>22.6</v>
      </c>
      <c r="L109" s="48" t="n">
        <v>3.06</v>
      </c>
      <c r="M109" s="49" t="n">
        <v>5</v>
      </c>
      <c r="N109" s="47" t="n">
        <v>53.8</v>
      </c>
      <c r="O109" s="48" t="n">
        <v>5.412</v>
      </c>
      <c r="P109" s="52" t="n">
        <f aca="false">SUM(I109:J109)+SUM(L109:O109)</f>
        <v>3068.172</v>
      </c>
      <c r="Q109" s="52" t="n">
        <v>3825.3</v>
      </c>
      <c r="R109" s="53" t="n">
        <f aca="false">IF(Q109="","",P109/Q109-1)</f>
        <v>-0.197926437142185</v>
      </c>
      <c r="S109" s="54" t="s">
        <v>272</v>
      </c>
    </row>
    <row r="110" customFormat="false" ht="15" hidden="false" customHeight="false" outlineLevel="0" collapsed="false">
      <c r="A110" s="37" t="s">
        <v>102</v>
      </c>
      <c r="B110" s="37" t="n">
        <v>2050</v>
      </c>
      <c r="C110" s="37" t="s">
        <v>155</v>
      </c>
      <c r="D110" s="37" t="s">
        <v>245</v>
      </c>
      <c r="E110" s="37" t="s">
        <v>289</v>
      </c>
      <c r="F110" s="38" t="n">
        <v>2260</v>
      </c>
      <c r="G110" s="37" t="s">
        <v>273</v>
      </c>
      <c r="H110" s="37" t="s">
        <v>274</v>
      </c>
      <c r="I110" s="38" t="n">
        <v>3148</v>
      </c>
      <c r="J110" s="39" t="n">
        <v>8.9</v>
      </c>
      <c r="K110" s="39" t="n">
        <v>11.3</v>
      </c>
      <c r="L110" s="40" t="n">
        <v>1.53</v>
      </c>
      <c r="M110" s="41" t="n">
        <v>5</v>
      </c>
      <c r="N110" s="39" t="n">
        <v>53.8</v>
      </c>
      <c r="O110" s="40" t="n">
        <v>5.412</v>
      </c>
      <c r="P110" s="38" t="n">
        <f aca="false">SUM(I110:J110)+SUM(L110:O110)</f>
        <v>3222.642</v>
      </c>
      <c r="Q110" s="38" t="n">
        <v>3825.3</v>
      </c>
      <c r="R110" s="51" t="n">
        <f aca="false">IF(Q110="","",P110/Q110-1)</f>
        <v>-0.157545290565446</v>
      </c>
      <c r="S110" s="37"/>
    </row>
    <row r="111" customFormat="false" ht="15" hidden="false" customHeight="false" outlineLevel="0" collapsed="false">
      <c r="A111" s="45" t="s">
        <v>102</v>
      </c>
      <c r="B111" s="45" t="n">
        <v>2050</v>
      </c>
      <c r="C111" s="45" t="s">
        <v>146</v>
      </c>
      <c r="D111" s="45" t="s">
        <v>240</v>
      </c>
      <c r="E111" s="45" t="s">
        <v>289</v>
      </c>
      <c r="F111" s="46" t="n">
        <v>2152</v>
      </c>
      <c r="G111" s="45" t="s">
        <v>270</v>
      </c>
      <c r="H111" s="45" t="s">
        <v>274</v>
      </c>
      <c r="I111" s="46" t="n">
        <v>3083.1</v>
      </c>
      <c r="J111" s="47" t="n">
        <v>15</v>
      </c>
      <c r="K111" s="47" t="n">
        <v>10.8</v>
      </c>
      <c r="L111" s="48" t="n">
        <v>1.46</v>
      </c>
      <c r="M111" s="49" t="n">
        <v>5</v>
      </c>
      <c r="N111" s="47" t="n">
        <v>53.8</v>
      </c>
      <c r="O111" s="48" t="n">
        <v>5.412</v>
      </c>
      <c r="P111" s="46" t="n">
        <f aca="false">SUM(I111:J111)+SUM(L111:O111)</f>
        <v>3163.772</v>
      </c>
      <c r="Q111" s="46" t="n">
        <v>3825.3</v>
      </c>
      <c r="R111" s="50" t="n">
        <f aca="false">IF(Q111="","",P111/Q111-1)</f>
        <v>-0.172934933207853</v>
      </c>
      <c r="S111" s="45"/>
    </row>
    <row r="112" customFormat="false" ht="15" hidden="false" customHeight="false" outlineLevel="0" collapsed="false">
      <c r="A112" s="37" t="s">
        <v>94</v>
      </c>
      <c r="B112" s="37" t="n">
        <v>2030</v>
      </c>
      <c r="C112" s="37" t="s">
        <v>151</v>
      </c>
      <c r="D112" s="37" t="s">
        <v>243</v>
      </c>
      <c r="E112" s="37" t="s">
        <v>290</v>
      </c>
      <c r="F112" s="38" t="n">
        <v>6228</v>
      </c>
      <c r="G112" s="37" t="s">
        <v>270</v>
      </c>
      <c r="H112" s="37" t="s">
        <v>271</v>
      </c>
      <c r="I112" s="38" t="n">
        <v>6982.1</v>
      </c>
      <c r="J112" s="39" t="n">
        <v>60.3</v>
      </c>
      <c r="K112" s="39" t="n">
        <v>56.1</v>
      </c>
      <c r="L112" s="40" t="n">
        <v>3.95</v>
      </c>
      <c r="M112" s="41" t="n">
        <v>5</v>
      </c>
      <c r="N112" s="39" t="n">
        <v>1</v>
      </c>
      <c r="O112" s="40" t="n">
        <v>5.412</v>
      </c>
      <c r="P112" s="42" t="n">
        <f aca="false">SUM(I112:J112)+SUM(L112:O112)</f>
        <v>7057.762</v>
      </c>
      <c r="Q112" s="42" t="n">
        <v>7723.5</v>
      </c>
      <c r="R112" s="43" t="n">
        <f aca="false">IF(Q112="","",P112/Q112-1)</f>
        <v>-0.0861964135430827</v>
      </c>
      <c r="S112" s="44" t="s">
        <v>272</v>
      </c>
    </row>
    <row r="113" customFormat="false" ht="15" hidden="false" customHeight="false" outlineLevel="0" collapsed="false">
      <c r="A113" s="45" t="s">
        <v>94</v>
      </c>
      <c r="B113" s="45" t="n">
        <v>2030</v>
      </c>
      <c r="C113" s="45" t="s">
        <v>155</v>
      </c>
      <c r="D113" s="45" t="s">
        <v>245</v>
      </c>
      <c r="E113" s="45" t="s">
        <v>290</v>
      </c>
      <c r="F113" s="46" t="n">
        <v>1919</v>
      </c>
      <c r="G113" s="45" t="s">
        <v>273</v>
      </c>
      <c r="H113" s="45" t="s">
        <v>271</v>
      </c>
      <c r="I113" s="46" t="n">
        <v>7523</v>
      </c>
      <c r="J113" s="47" t="n">
        <v>16.7</v>
      </c>
      <c r="K113" s="47" t="n">
        <v>17.3</v>
      </c>
      <c r="L113" s="48" t="n">
        <v>1.22</v>
      </c>
      <c r="M113" s="49" t="n">
        <v>5</v>
      </c>
      <c r="N113" s="47" t="n">
        <v>1</v>
      </c>
      <c r="O113" s="48" t="n">
        <v>5.412</v>
      </c>
      <c r="P113" s="46" t="n">
        <f aca="false">SUM(I113:J113)+SUM(L113:O113)</f>
        <v>7552.332</v>
      </c>
      <c r="Q113" s="46" t="n">
        <v>7723.5</v>
      </c>
      <c r="R113" s="50" t="n">
        <f aca="false">IF(Q113="","",P113/Q113-1)</f>
        <v>-0.0221619731986794</v>
      </c>
      <c r="S113" s="45"/>
    </row>
    <row r="114" customFormat="false" ht="15" hidden="false" customHeight="false" outlineLevel="0" collapsed="false">
      <c r="A114" s="37" t="s">
        <v>94</v>
      </c>
      <c r="B114" s="37" t="n">
        <v>2030</v>
      </c>
      <c r="C114" s="37" t="s">
        <v>146</v>
      </c>
      <c r="D114" s="37" t="s">
        <v>240</v>
      </c>
      <c r="E114" s="37" t="s">
        <v>290</v>
      </c>
      <c r="F114" s="38" t="n">
        <v>3858</v>
      </c>
      <c r="G114" s="37" t="s">
        <v>270</v>
      </c>
      <c r="H114" s="37" t="s">
        <v>271</v>
      </c>
      <c r="I114" s="38" t="n">
        <v>7241.5</v>
      </c>
      <c r="J114" s="39" t="n">
        <v>46</v>
      </c>
      <c r="K114" s="39" t="n">
        <v>34.7</v>
      </c>
      <c r="L114" s="40" t="n">
        <v>2.45</v>
      </c>
      <c r="M114" s="41" t="n">
        <v>5</v>
      </c>
      <c r="N114" s="39" t="n">
        <v>1</v>
      </c>
      <c r="O114" s="40" t="n">
        <v>5.412</v>
      </c>
      <c r="P114" s="38" t="n">
        <f aca="false">SUM(I114:J114)+SUM(L114:O114)</f>
        <v>7301.362</v>
      </c>
      <c r="Q114" s="38" t="n">
        <v>7723.5</v>
      </c>
      <c r="R114" s="51" t="n">
        <f aca="false">IF(Q114="","",P114/Q114-1)</f>
        <v>-0.0546563086683498</v>
      </c>
      <c r="S114" s="37"/>
    </row>
    <row r="115" customFormat="false" ht="15" hidden="false" customHeight="false" outlineLevel="0" collapsed="false">
      <c r="A115" s="45" t="s">
        <v>94</v>
      </c>
      <c r="B115" s="45" t="n">
        <v>2050</v>
      </c>
      <c r="C115" s="45" t="s">
        <v>151</v>
      </c>
      <c r="D115" s="45" t="s">
        <v>243</v>
      </c>
      <c r="E115" s="45" t="s">
        <v>290</v>
      </c>
      <c r="F115" s="46" t="n">
        <v>6228</v>
      </c>
      <c r="G115" s="45" t="s">
        <v>270</v>
      </c>
      <c r="H115" s="45" t="s">
        <v>274</v>
      </c>
      <c r="I115" s="46" t="n">
        <v>2979.1</v>
      </c>
      <c r="J115" s="47" t="n">
        <v>26.8</v>
      </c>
      <c r="K115" s="47" t="n">
        <v>31.1</v>
      </c>
      <c r="L115" s="48" t="n">
        <v>4.22</v>
      </c>
      <c r="M115" s="49" t="n">
        <v>5</v>
      </c>
      <c r="N115" s="47" t="n">
        <v>1</v>
      </c>
      <c r="O115" s="48" t="n">
        <v>5.412</v>
      </c>
      <c r="P115" s="52" t="n">
        <f aca="false">SUM(I115:J115)+SUM(L115:O115)</f>
        <v>3021.532</v>
      </c>
      <c r="Q115" s="52" t="n">
        <v>3602.8</v>
      </c>
      <c r="R115" s="53" t="n">
        <f aca="false">IF(Q115="","",P115/Q115-1)</f>
        <v>-0.16133784834018</v>
      </c>
      <c r="S115" s="54" t="s">
        <v>272</v>
      </c>
    </row>
    <row r="116" customFormat="false" ht="15" hidden="false" customHeight="false" outlineLevel="0" collapsed="false">
      <c r="A116" s="37" t="s">
        <v>94</v>
      </c>
      <c r="B116" s="37" t="n">
        <v>2050</v>
      </c>
      <c r="C116" s="37" t="s">
        <v>155</v>
      </c>
      <c r="D116" s="37" t="s">
        <v>245</v>
      </c>
      <c r="E116" s="37" t="s">
        <v>290</v>
      </c>
      <c r="F116" s="38" t="n">
        <v>1919</v>
      </c>
      <c r="G116" s="37" t="s">
        <v>273</v>
      </c>
      <c r="H116" s="37" t="s">
        <v>274</v>
      </c>
      <c r="I116" s="38" t="n">
        <v>3148</v>
      </c>
      <c r="J116" s="39" t="n">
        <v>7.9</v>
      </c>
      <c r="K116" s="39" t="n">
        <v>9.6</v>
      </c>
      <c r="L116" s="40" t="n">
        <v>1.3</v>
      </c>
      <c r="M116" s="41" t="n">
        <v>5</v>
      </c>
      <c r="N116" s="39" t="n">
        <v>1</v>
      </c>
      <c r="O116" s="40" t="n">
        <v>5.412</v>
      </c>
      <c r="P116" s="38" t="n">
        <f aca="false">SUM(I116:J116)+SUM(L116:O116)</f>
        <v>3168.612</v>
      </c>
      <c r="Q116" s="38" t="n">
        <v>3602.8</v>
      </c>
      <c r="R116" s="51" t="n">
        <f aca="false">IF(Q116="","",P116/Q116-1)</f>
        <v>-0.120514044631953</v>
      </c>
      <c r="S116" s="37"/>
    </row>
    <row r="117" customFormat="false" ht="15" hidden="false" customHeight="false" outlineLevel="0" collapsed="false">
      <c r="A117" s="45" t="s">
        <v>94</v>
      </c>
      <c r="B117" s="45" t="n">
        <v>2050</v>
      </c>
      <c r="C117" s="45" t="s">
        <v>146</v>
      </c>
      <c r="D117" s="45" t="s">
        <v>240</v>
      </c>
      <c r="E117" s="45" t="s">
        <v>290</v>
      </c>
      <c r="F117" s="46" t="n">
        <v>3858</v>
      </c>
      <c r="G117" s="45" t="s">
        <v>270</v>
      </c>
      <c r="H117" s="45" t="s">
        <v>274</v>
      </c>
      <c r="I117" s="46" t="n">
        <v>3083.1</v>
      </c>
      <c r="J117" s="47" t="n">
        <v>19.9</v>
      </c>
      <c r="K117" s="47" t="n">
        <v>19.3</v>
      </c>
      <c r="L117" s="48" t="n">
        <v>2.61</v>
      </c>
      <c r="M117" s="49" t="n">
        <v>5</v>
      </c>
      <c r="N117" s="47" t="n">
        <v>1</v>
      </c>
      <c r="O117" s="48" t="n">
        <v>5.412</v>
      </c>
      <c r="P117" s="46" t="n">
        <f aca="false">SUM(I117:J117)+SUM(L117:O117)</f>
        <v>3117.022</v>
      </c>
      <c r="Q117" s="46" t="n">
        <v>3602.8</v>
      </c>
      <c r="R117" s="50" t="n">
        <f aca="false">IF(Q117="","",P117/Q117-1)</f>
        <v>-0.134833462862218</v>
      </c>
      <c r="S117" s="45"/>
    </row>
    <row r="118" customFormat="false" ht="15" hidden="false" customHeight="false" outlineLevel="0" collapsed="false">
      <c r="A118" s="37" t="s">
        <v>50</v>
      </c>
      <c r="B118" s="37" t="n">
        <v>2030</v>
      </c>
      <c r="C118" s="37" t="s">
        <v>151</v>
      </c>
      <c r="D118" s="37" t="s">
        <v>243</v>
      </c>
      <c r="E118" s="37" t="s">
        <v>291</v>
      </c>
      <c r="F118" s="38" t="n">
        <v>4430</v>
      </c>
      <c r="G118" s="37" t="s">
        <v>270</v>
      </c>
      <c r="H118" s="37" t="s">
        <v>271</v>
      </c>
      <c r="I118" s="38" t="n">
        <v>6982.1</v>
      </c>
      <c r="J118" s="39" t="n">
        <v>49.4</v>
      </c>
      <c r="K118" s="39" t="n">
        <v>39.9</v>
      </c>
      <c r="L118" s="40" t="n">
        <v>2.81</v>
      </c>
      <c r="M118" s="41" t="n">
        <v>5</v>
      </c>
      <c r="N118" s="39" t="n">
        <v>6.4</v>
      </c>
      <c r="O118" s="40" t="n">
        <v>5.412</v>
      </c>
      <c r="P118" s="42" t="n">
        <f aca="false">SUM(I118:J118)+SUM(L118:O118)</f>
        <v>7051.122</v>
      </c>
      <c r="Q118" s="42" t="n">
        <v>6826.9</v>
      </c>
      <c r="R118" s="43" t="n">
        <f aca="false">IF(Q118="","",P118/Q118-1)</f>
        <v>0.0328438969371165</v>
      </c>
      <c r="S118" s="44" t="s">
        <v>278</v>
      </c>
    </row>
    <row r="119" customFormat="false" ht="15" hidden="false" customHeight="false" outlineLevel="0" collapsed="false">
      <c r="A119" s="45" t="s">
        <v>50</v>
      </c>
      <c r="B119" s="45" t="n">
        <v>2030</v>
      </c>
      <c r="C119" s="45" t="s">
        <v>155</v>
      </c>
      <c r="D119" s="45" t="s">
        <v>245</v>
      </c>
      <c r="E119" s="45" t="s">
        <v>291</v>
      </c>
      <c r="F119" s="46" t="n">
        <v>1995</v>
      </c>
      <c r="G119" s="45" t="s">
        <v>273</v>
      </c>
      <c r="H119" s="45" t="s">
        <v>271</v>
      </c>
      <c r="I119" s="46" t="n">
        <v>7523</v>
      </c>
      <c r="J119" s="47" t="n">
        <v>17.2</v>
      </c>
      <c r="K119" s="47" t="n">
        <v>18</v>
      </c>
      <c r="L119" s="48" t="n">
        <v>1.27</v>
      </c>
      <c r="M119" s="49" t="n">
        <v>5</v>
      </c>
      <c r="N119" s="47" t="n">
        <v>6.4</v>
      </c>
      <c r="O119" s="48" t="n">
        <v>5.412</v>
      </c>
      <c r="P119" s="46" t="n">
        <f aca="false">SUM(I119:J119)+SUM(L119:O119)</f>
        <v>7558.282</v>
      </c>
      <c r="Q119" s="46" t="n">
        <v>6826.9</v>
      </c>
      <c r="R119" s="50" t="n">
        <f aca="false">IF(Q119="","",P119/Q119-1)</f>
        <v>0.107132373405206</v>
      </c>
      <c r="S119" s="45"/>
    </row>
    <row r="120" customFormat="false" ht="15" hidden="false" customHeight="false" outlineLevel="0" collapsed="false">
      <c r="A120" s="37" t="s">
        <v>50</v>
      </c>
      <c r="B120" s="37" t="n">
        <v>2030</v>
      </c>
      <c r="C120" s="37" t="s">
        <v>146</v>
      </c>
      <c r="D120" s="37" t="s">
        <v>240</v>
      </c>
      <c r="E120" s="37" t="s">
        <v>291</v>
      </c>
      <c r="F120" s="38" t="n">
        <v>2060</v>
      </c>
      <c r="G120" s="37" t="s">
        <v>270</v>
      </c>
      <c r="H120" s="37" t="s">
        <v>271</v>
      </c>
      <c r="I120" s="38" t="n">
        <v>7241.5</v>
      </c>
      <c r="J120" s="39" t="n">
        <v>35.1</v>
      </c>
      <c r="K120" s="39" t="n">
        <v>18.5</v>
      </c>
      <c r="L120" s="40" t="n">
        <v>1.31</v>
      </c>
      <c r="M120" s="41" t="n">
        <v>5</v>
      </c>
      <c r="N120" s="39" t="n">
        <v>6.4</v>
      </c>
      <c r="O120" s="40" t="n">
        <v>5.412</v>
      </c>
      <c r="P120" s="38" t="n">
        <f aca="false">SUM(I120:J120)+SUM(L120:O120)</f>
        <v>7294.722</v>
      </c>
      <c r="Q120" s="38" t="n">
        <v>6826.9</v>
      </c>
      <c r="R120" s="51" t="n">
        <f aca="false">IF(Q120="","",P120/Q120-1)</f>
        <v>0.0685262710747192</v>
      </c>
      <c r="S120" s="37"/>
    </row>
    <row r="121" customFormat="false" ht="15" hidden="false" customHeight="false" outlineLevel="0" collapsed="false">
      <c r="A121" s="45" t="s">
        <v>50</v>
      </c>
      <c r="B121" s="45" t="n">
        <v>2050</v>
      </c>
      <c r="C121" s="45" t="s">
        <v>151</v>
      </c>
      <c r="D121" s="45" t="s">
        <v>243</v>
      </c>
      <c r="E121" s="45" t="s">
        <v>291</v>
      </c>
      <c r="F121" s="46" t="n">
        <v>4430</v>
      </c>
      <c r="G121" s="45" t="s">
        <v>270</v>
      </c>
      <c r="H121" s="45" t="s">
        <v>274</v>
      </c>
      <c r="I121" s="46" t="n">
        <v>2979.1</v>
      </c>
      <c r="J121" s="47" t="n">
        <v>21.6</v>
      </c>
      <c r="K121" s="47" t="n">
        <v>22.1</v>
      </c>
      <c r="L121" s="48" t="n">
        <v>3</v>
      </c>
      <c r="M121" s="49" t="n">
        <v>5</v>
      </c>
      <c r="N121" s="47" t="n">
        <v>6.4</v>
      </c>
      <c r="O121" s="48" t="n">
        <v>5.412</v>
      </c>
      <c r="P121" s="52" t="n">
        <f aca="false">SUM(I121:J121)+SUM(L121:O121)</f>
        <v>3020.512</v>
      </c>
      <c r="Q121" s="52" t="n">
        <v>3101</v>
      </c>
      <c r="R121" s="53" t="n">
        <f aca="false">IF(Q121="","",P121/Q121-1)</f>
        <v>-0.0259554982263787</v>
      </c>
      <c r="S121" s="54" t="s">
        <v>272</v>
      </c>
    </row>
    <row r="122" customFormat="false" ht="15" hidden="false" customHeight="false" outlineLevel="0" collapsed="false">
      <c r="A122" s="37" t="s">
        <v>50</v>
      </c>
      <c r="B122" s="37" t="n">
        <v>2050</v>
      </c>
      <c r="C122" s="37" t="s">
        <v>155</v>
      </c>
      <c r="D122" s="37" t="s">
        <v>245</v>
      </c>
      <c r="E122" s="37" t="s">
        <v>291</v>
      </c>
      <c r="F122" s="38" t="n">
        <v>1995</v>
      </c>
      <c r="G122" s="37" t="s">
        <v>273</v>
      </c>
      <c r="H122" s="37" t="s">
        <v>274</v>
      </c>
      <c r="I122" s="38" t="n">
        <v>3148</v>
      </c>
      <c r="J122" s="39" t="n">
        <v>8.2</v>
      </c>
      <c r="K122" s="39" t="n">
        <v>10</v>
      </c>
      <c r="L122" s="40" t="n">
        <v>1.35</v>
      </c>
      <c r="M122" s="41" t="n">
        <v>5</v>
      </c>
      <c r="N122" s="39" t="n">
        <v>6.4</v>
      </c>
      <c r="O122" s="40" t="n">
        <v>5.412</v>
      </c>
      <c r="P122" s="38" t="n">
        <f aca="false">SUM(I122:J122)+SUM(L122:O122)</f>
        <v>3174.362</v>
      </c>
      <c r="Q122" s="38" t="n">
        <v>3101</v>
      </c>
      <c r="R122" s="51" t="n">
        <f aca="false">IF(Q122="","",P122/Q122-1)</f>
        <v>0.0236575298290873</v>
      </c>
      <c r="S122" s="37"/>
    </row>
    <row r="123" customFormat="false" ht="15" hidden="false" customHeight="false" outlineLevel="0" collapsed="false">
      <c r="A123" s="45" t="s">
        <v>50</v>
      </c>
      <c r="B123" s="45" t="n">
        <v>2050</v>
      </c>
      <c r="C123" s="45" t="s">
        <v>146</v>
      </c>
      <c r="D123" s="45" t="s">
        <v>240</v>
      </c>
      <c r="E123" s="45" t="s">
        <v>291</v>
      </c>
      <c r="F123" s="46" t="n">
        <v>2060</v>
      </c>
      <c r="G123" s="45" t="s">
        <v>270</v>
      </c>
      <c r="H123" s="45" t="s">
        <v>274</v>
      </c>
      <c r="I123" s="46" t="n">
        <v>3083.1</v>
      </c>
      <c r="J123" s="47" t="n">
        <v>14.7</v>
      </c>
      <c r="K123" s="47" t="n">
        <v>10.3</v>
      </c>
      <c r="L123" s="48" t="n">
        <v>1.4</v>
      </c>
      <c r="M123" s="49" t="n">
        <v>5</v>
      </c>
      <c r="N123" s="47" t="n">
        <v>6.4</v>
      </c>
      <c r="O123" s="48" t="n">
        <v>5.412</v>
      </c>
      <c r="P123" s="46" t="n">
        <f aca="false">SUM(I123:J123)+SUM(L123:O123)</f>
        <v>3116.012</v>
      </c>
      <c r="Q123" s="46" t="n">
        <v>3101</v>
      </c>
      <c r="R123" s="50" t="n">
        <f aca="false">IF(Q123="","",P123/Q123-1)</f>
        <v>0.00484101902612055</v>
      </c>
      <c r="S123" s="45"/>
    </row>
    <row r="124" customFormat="false" ht="15" hidden="false" customHeight="false" outlineLevel="0" collapsed="false">
      <c r="A124" s="37" t="s">
        <v>138</v>
      </c>
      <c r="B124" s="37" t="n">
        <v>2030</v>
      </c>
      <c r="C124" s="37" t="s">
        <v>151</v>
      </c>
      <c r="D124" s="37" t="s">
        <v>243</v>
      </c>
      <c r="E124" s="37" t="s">
        <v>292</v>
      </c>
      <c r="F124" s="38" t="n">
        <v>7307</v>
      </c>
      <c r="G124" s="37" t="s">
        <v>270</v>
      </c>
      <c r="H124" s="37" t="s">
        <v>271</v>
      </c>
      <c r="I124" s="38" t="n">
        <v>6982.1</v>
      </c>
      <c r="J124" s="39" t="n">
        <v>66.9</v>
      </c>
      <c r="K124" s="39" t="n">
        <v>65.8</v>
      </c>
      <c r="L124" s="40" t="n">
        <v>4.64</v>
      </c>
      <c r="M124" s="41" t="n">
        <v>5</v>
      </c>
      <c r="N124" s="39" t="n">
        <v>36.1</v>
      </c>
      <c r="O124" s="40" t="n">
        <v>5.412</v>
      </c>
      <c r="P124" s="42" t="n">
        <f aca="false">SUM(I124:J124)+SUM(L124:O124)</f>
        <v>7100.152</v>
      </c>
      <c r="Q124" s="42" t="n">
        <v>18088.8</v>
      </c>
      <c r="R124" s="43" t="n">
        <f aca="false">IF(Q124="","",P124/Q124-1)</f>
        <v>-0.607483525717571</v>
      </c>
      <c r="S124" s="44" t="s">
        <v>272</v>
      </c>
    </row>
    <row r="125" customFormat="false" ht="15" hidden="false" customHeight="false" outlineLevel="0" collapsed="false">
      <c r="A125" s="45" t="s">
        <v>138</v>
      </c>
      <c r="B125" s="45" t="n">
        <v>2030</v>
      </c>
      <c r="C125" s="45" t="s">
        <v>155</v>
      </c>
      <c r="D125" s="45" t="s">
        <v>245</v>
      </c>
      <c r="E125" s="45" t="s">
        <v>292</v>
      </c>
      <c r="F125" s="46" t="n">
        <v>2998</v>
      </c>
      <c r="G125" s="45" t="s">
        <v>273</v>
      </c>
      <c r="H125" s="45" t="s">
        <v>271</v>
      </c>
      <c r="I125" s="46" t="n">
        <v>7523</v>
      </c>
      <c r="J125" s="47" t="n">
        <v>23.3</v>
      </c>
      <c r="K125" s="47" t="n">
        <v>27</v>
      </c>
      <c r="L125" s="48" t="n">
        <v>1.9</v>
      </c>
      <c r="M125" s="49" t="n">
        <v>5</v>
      </c>
      <c r="N125" s="47" t="n">
        <v>36.1</v>
      </c>
      <c r="O125" s="48" t="n">
        <v>5.412</v>
      </c>
      <c r="P125" s="46" t="n">
        <f aca="false">SUM(I125:J125)+SUM(L125:O125)</f>
        <v>7594.712</v>
      </c>
      <c r="Q125" s="46" t="n">
        <v>18088.8</v>
      </c>
      <c r="R125" s="50" t="n">
        <f aca="false">IF(Q125="","",P125/Q125-1)</f>
        <v>-0.58014285082482</v>
      </c>
      <c r="S125" s="45"/>
    </row>
    <row r="126" customFormat="false" ht="15" hidden="false" customHeight="false" outlineLevel="0" collapsed="false">
      <c r="A126" s="37" t="s">
        <v>138</v>
      </c>
      <c r="B126" s="37" t="n">
        <v>2030</v>
      </c>
      <c r="C126" s="37" t="s">
        <v>146</v>
      </c>
      <c r="D126" s="37" t="s">
        <v>240</v>
      </c>
      <c r="E126" s="37" t="s">
        <v>292</v>
      </c>
      <c r="F126" s="38" t="n">
        <v>4937</v>
      </c>
      <c r="G126" s="37" t="s">
        <v>270</v>
      </c>
      <c r="H126" s="37" t="s">
        <v>271</v>
      </c>
      <c r="I126" s="38" t="n">
        <v>7241.5</v>
      </c>
      <c r="J126" s="39" t="n">
        <v>52.5</v>
      </c>
      <c r="K126" s="39" t="n">
        <v>44.4</v>
      </c>
      <c r="L126" s="40" t="n">
        <v>3.13</v>
      </c>
      <c r="M126" s="41" t="n">
        <v>5</v>
      </c>
      <c r="N126" s="39" t="n">
        <v>36.1</v>
      </c>
      <c r="O126" s="40" t="n">
        <v>5.412</v>
      </c>
      <c r="P126" s="38" t="n">
        <f aca="false">SUM(I126:J126)+SUM(L126:O126)</f>
        <v>7343.642</v>
      </c>
      <c r="Q126" s="38" t="n">
        <v>18088.8</v>
      </c>
      <c r="R126" s="51" t="n">
        <f aca="false">IF(Q126="","",P126/Q126-1)</f>
        <v>-0.594022710185308</v>
      </c>
      <c r="S126" s="37"/>
    </row>
    <row r="127" customFormat="false" ht="15" hidden="false" customHeight="false" outlineLevel="0" collapsed="false">
      <c r="A127" s="45" t="s">
        <v>138</v>
      </c>
      <c r="B127" s="45" t="n">
        <v>2050</v>
      </c>
      <c r="C127" s="45" t="s">
        <v>151</v>
      </c>
      <c r="D127" s="45" t="s">
        <v>243</v>
      </c>
      <c r="E127" s="45" t="s">
        <v>292</v>
      </c>
      <c r="F127" s="46" t="n">
        <v>7307</v>
      </c>
      <c r="G127" s="45" t="s">
        <v>270</v>
      </c>
      <c r="H127" s="45" t="s">
        <v>274</v>
      </c>
      <c r="I127" s="46" t="n">
        <v>2979.1</v>
      </c>
      <c r="J127" s="47" t="n">
        <v>29.9</v>
      </c>
      <c r="K127" s="47" t="n">
        <v>36.5</v>
      </c>
      <c r="L127" s="48" t="n">
        <v>4.95</v>
      </c>
      <c r="M127" s="49" t="n">
        <v>5</v>
      </c>
      <c r="N127" s="47" t="n">
        <v>36.1</v>
      </c>
      <c r="O127" s="48" t="n">
        <v>5.412</v>
      </c>
      <c r="P127" s="52" t="n">
        <f aca="false">SUM(I127:J127)+SUM(L127:O127)</f>
        <v>3060.462</v>
      </c>
      <c r="Q127" s="52" t="n">
        <v>5641</v>
      </c>
      <c r="R127" s="53" t="n">
        <f aca="false">IF(Q127="","",P127/Q127-1)</f>
        <v>-0.457461088459493</v>
      </c>
      <c r="S127" s="54" t="s">
        <v>272</v>
      </c>
    </row>
    <row r="128" customFormat="false" ht="15" hidden="false" customHeight="false" outlineLevel="0" collapsed="false">
      <c r="A128" s="37" t="s">
        <v>138</v>
      </c>
      <c r="B128" s="37" t="n">
        <v>2050</v>
      </c>
      <c r="C128" s="37" t="s">
        <v>155</v>
      </c>
      <c r="D128" s="37" t="s">
        <v>245</v>
      </c>
      <c r="E128" s="37" t="s">
        <v>292</v>
      </c>
      <c r="F128" s="38" t="n">
        <v>2998</v>
      </c>
      <c r="G128" s="37" t="s">
        <v>273</v>
      </c>
      <c r="H128" s="37" t="s">
        <v>274</v>
      </c>
      <c r="I128" s="38" t="n">
        <v>3148</v>
      </c>
      <c r="J128" s="39" t="n">
        <v>11.1</v>
      </c>
      <c r="K128" s="39" t="n">
        <v>15</v>
      </c>
      <c r="L128" s="40" t="n">
        <v>2.03</v>
      </c>
      <c r="M128" s="41" t="n">
        <v>5</v>
      </c>
      <c r="N128" s="39" t="n">
        <v>36.1</v>
      </c>
      <c r="O128" s="40" t="n">
        <v>5.412</v>
      </c>
      <c r="P128" s="38" t="n">
        <f aca="false">SUM(I128:J128)+SUM(L128:O128)</f>
        <v>3207.642</v>
      </c>
      <c r="Q128" s="38" t="n">
        <v>5641</v>
      </c>
      <c r="R128" s="51" t="n">
        <f aca="false">IF(Q128="","",P128/Q128-1)</f>
        <v>-0.431369969863499</v>
      </c>
      <c r="S128" s="37"/>
    </row>
    <row r="129" customFormat="false" ht="15" hidden="false" customHeight="false" outlineLevel="0" collapsed="false">
      <c r="A129" s="45" t="s">
        <v>138</v>
      </c>
      <c r="B129" s="45" t="n">
        <v>2050</v>
      </c>
      <c r="C129" s="45" t="s">
        <v>146</v>
      </c>
      <c r="D129" s="45" t="s">
        <v>240</v>
      </c>
      <c r="E129" s="45" t="s">
        <v>292</v>
      </c>
      <c r="F129" s="46" t="n">
        <v>4937</v>
      </c>
      <c r="G129" s="45" t="s">
        <v>270</v>
      </c>
      <c r="H129" s="45" t="s">
        <v>274</v>
      </c>
      <c r="I129" s="46" t="n">
        <v>3083.1</v>
      </c>
      <c r="J129" s="47" t="n">
        <v>23</v>
      </c>
      <c r="K129" s="47" t="n">
        <v>24.7</v>
      </c>
      <c r="L129" s="48" t="n">
        <v>3.34</v>
      </c>
      <c r="M129" s="49" t="n">
        <v>5</v>
      </c>
      <c r="N129" s="47" t="n">
        <v>36.1</v>
      </c>
      <c r="O129" s="48" t="n">
        <v>5.412</v>
      </c>
      <c r="P129" s="46" t="n">
        <f aca="false">SUM(I129:J129)+SUM(L129:O129)</f>
        <v>3155.952</v>
      </c>
      <c r="Q129" s="46" t="n">
        <v>5641</v>
      </c>
      <c r="R129" s="50" t="n">
        <f aca="false">IF(Q129="","",P129/Q129-1)</f>
        <v>-0.440533238787449</v>
      </c>
      <c r="S129" s="45"/>
    </row>
    <row r="130" customFormat="false" ht="15" hidden="false" customHeight="false" outlineLevel="0" collapsed="false">
      <c r="A130" s="37" t="s">
        <v>83</v>
      </c>
      <c r="B130" s="37" t="n">
        <v>2030</v>
      </c>
      <c r="C130" s="37" t="s">
        <v>151</v>
      </c>
      <c r="D130" s="37" t="s">
        <v>243</v>
      </c>
      <c r="E130" s="37" t="s">
        <v>293</v>
      </c>
      <c r="F130" s="38" t="n">
        <v>6321</v>
      </c>
      <c r="G130" s="37" t="s">
        <v>270</v>
      </c>
      <c r="H130" s="37" t="s">
        <v>271</v>
      </c>
      <c r="I130" s="38" t="n">
        <v>6982.1</v>
      </c>
      <c r="J130" s="39" t="n">
        <v>60.9</v>
      </c>
      <c r="K130" s="39" t="n">
        <v>56.9</v>
      </c>
      <c r="L130" s="40" t="n">
        <v>4.01</v>
      </c>
      <c r="M130" s="41" t="n">
        <v>5</v>
      </c>
      <c r="N130" s="39" t="n">
        <v>34.1</v>
      </c>
      <c r="O130" s="40" t="n">
        <v>5.412</v>
      </c>
      <c r="P130" s="42" t="n">
        <f aca="false">SUM(I130:J130)+SUM(L130:O130)</f>
        <v>7091.522</v>
      </c>
      <c r="Q130" s="42" t="n">
        <v>7708.6</v>
      </c>
      <c r="R130" s="43" t="n">
        <f aca="false">IF(Q130="","",P130/Q130-1)</f>
        <v>-0.0800505928443557</v>
      </c>
      <c r="S130" s="44" t="s">
        <v>272</v>
      </c>
    </row>
    <row r="131" customFormat="false" ht="15" hidden="false" customHeight="false" outlineLevel="0" collapsed="false">
      <c r="A131" s="45" t="s">
        <v>83</v>
      </c>
      <c r="B131" s="45" t="n">
        <v>2030</v>
      </c>
      <c r="C131" s="45" t="s">
        <v>155</v>
      </c>
      <c r="D131" s="45" t="s">
        <v>245</v>
      </c>
      <c r="E131" s="45" t="s">
        <v>293</v>
      </c>
      <c r="F131" s="46" t="n">
        <v>2012</v>
      </c>
      <c r="G131" s="45" t="s">
        <v>273</v>
      </c>
      <c r="H131" s="45" t="s">
        <v>271</v>
      </c>
      <c r="I131" s="46" t="n">
        <v>7523</v>
      </c>
      <c r="J131" s="47" t="n">
        <v>17.3</v>
      </c>
      <c r="K131" s="47" t="n">
        <v>18.1</v>
      </c>
      <c r="L131" s="48" t="n">
        <v>1.28</v>
      </c>
      <c r="M131" s="49" t="n">
        <v>5</v>
      </c>
      <c r="N131" s="47" t="n">
        <v>34.1</v>
      </c>
      <c r="O131" s="48" t="n">
        <v>5.412</v>
      </c>
      <c r="P131" s="46" t="n">
        <f aca="false">SUM(I131:J131)+SUM(L131:O131)</f>
        <v>7586.092</v>
      </c>
      <c r="Q131" s="46" t="n">
        <v>7708.6</v>
      </c>
      <c r="R131" s="50" t="n">
        <f aca="false">IF(Q131="","",P131/Q131-1)</f>
        <v>-0.0158923799392886</v>
      </c>
      <c r="S131" s="45"/>
    </row>
    <row r="132" customFormat="false" ht="15" hidden="false" customHeight="false" outlineLevel="0" collapsed="false">
      <c r="A132" s="37" t="s">
        <v>83</v>
      </c>
      <c r="B132" s="37" t="n">
        <v>2030</v>
      </c>
      <c r="C132" s="37" t="s">
        <v>146</v>
      </c>
      <c r="D132" s="37" t="s">
        <v>240</v>
      </c>
      <c r="E132" s="37" t="s">
        <v>293</v>
      </c>
      <c r="F132" s="38" t="n">
        <v>3951</v>
      </c>
      <c r="G132" s="37" t="s">
        <v>270</v>
      </c>
      <c r="H132" s="37" t="s">
        <v>271</v>
      </c>
      <c r="I132" s="38" t="n">
        <v>7241.5</v>
      </c>
      <c r="J132" s="39" t="n">
        <v>46.5</v>
      </c>
      <c r="K132" s="39" t="n">
        <v>35.6</v>
      </c>
      <c r="L132" s="40" t="n">
        <v>2.51</v>
      </c>
      <c r="M132" s="41" t="n">
        <v>5</v>
      </c>
      <c r="N132" s="39" t="n">
        <v>34.1</v>
      </c>
      <c r="O132" s="40" t="n">
        <v>5.412</v>
      </c>
      <c r="P132" s="38" t="n">
        <f aca="false">SUM(I132:J132)+SUM(L132:O132)</f>
        <v>7335.022</v>
      </c>
      <c r="Q132" s="38" t="n">
        <v>7708.6</v>
      </c>
      <c r="R132" s="51" t="n">
        <f aca="false">IF(Q132="","",P132/Q132-1)</f>
        <v>-0.0484624964325558</v>
      </c>
      <c r="S132" s="37"/>
    </row>
    <row r="133" customFormat="false" ht="15" hidden="false" customHeight="false" outlineLevel="0" collapsed="false">
      <c r="A133" s="45" t="s">
        <v>83</v>
      </c>
      <c r="B133" s="45" t="n">
        <v>2050</v>
      </c>
      <c r="C133" s="45" t="s">
        <v>151</v>
      </c>
      <c r="D133" s="45" t="s">
        <v>243</v>
      </c>
      <c r="E133" s="45" t="s">
        <v>293</v>
      </c>
      <c r="F133" s="46" t="n">
        <v>6321</v>
      </c>
      <c r="G133" s="45" t="s">
        <v>270</v>
      </c>
      <c r="H133" s="45" t="s">
        <v>274</v>
      </c>
      <c r="I133" s="46" t="n">
        <v>2979.1</v>
      </c>
      <c r="J133" s="47" t="n">
        <v>27.1</v>
      </c>
      <c r="K133" s="47" t="n">
        <v>31.6</v>
      </c>
      <c r="L133" s="48" t="n">
        <v>4.28</v>
      </c>
      <c r="M133" s="49" t="n">
        <v>5</v>
      </c>
      <c r="N133" s="47" t="n">
        <v>34.1</v>
      </c>
      <c r="O133" s="48" t="n">
        <v>5.412</v>
      </c>
      <c r="P133" s="52" t="n">
        <f aca="false">SUM(I133:J133)+SUM(L133:O133)</f>
        <v>3054.992</v>
      </c>
      <c r="Q133" s="52" t="n">
        <v>3523.6</v>
      </c>
      <c r="R133" s="53" t="n">
        <f aca="false">IF(Q133="","",P133/Q133-1)</f>
        <v>-0.132991258939721</v>
      </c>
      <c r="S133" s="54" t="s">
        <v>272</v>
      </c>
    </row>
    <row r="134" customFormat="false" ht="15" hidden="false" customHeight="false" outlineLevel="0" collapsed="false">
      <c r="A134" s="37" t="s">
        <v>83</v>
      </c>
      <c r="B134" s="37" t="n">
        <v>2050</v>
      </c>
      <c r="C134" s="37" t="s">
        <v>155</v>
      </c>
      <c r="D134" s="37" t="s">
        <v>245</v>
      </c>
      <c r="E134" s="37" t="s">
        <v>293</v>
      </c>
      <c r="F134" s="38" t="n">
        <v>2012</v>
      </c>
      <c r="G134" s="37" t="s">
        <v>273</v>
      </c>
      <c r="H134" s="37" t="s">
        <v>274</v>
      </c>
      <c r="I134" s="38" t="n">
        <v>3148</v>
      </c>
      <c r="J134" s="39" t="n">
        <v>8.2</v>
      </c>
      <c r="K134" s="39" t="n">
        <v>10.1</v>
      </c>
      <c r="L134" s="40" t="n">
        <v>1.36</v>
      </c>
      <c r="M134" s="41" t="n">
        <v>5</v>
      </c>
      <c r="N134" s="39" t="n">
        <v>34.1</v>
      </c>
      <c r="O134" s="40" t="n">
        <v>5.412</v>
      </c>
      <c r="P134" s="38" t="n">
        <f aca="false">SUM(I134:J134)+SUM(L134:O134)</f>
        <v>3202.072</v>
      </c>
      <c r="Q134" s="38" t="n">
        <v>3523.6</v>
      </c>
      <c r="R134" s="51" t="n">
        <f aca="false">IF(Q134="","",P134/Q134-1)</f>
        <v>-0.0912498580996709</v>
      </c>
      <c r="S134" s="37"/>
    </row>
    <row r="135" customFormat="false" ht="15" hidden="false" customHeight="false" outlineLevel="0" collapsed="false">
      <c r="A135" s="45" t="s">
        <v>83</v>
      </c>
      <c r="B135" s="45" t="n">
        <v>2050</v>
      </c>
      <c r="C135" s="45" t="s">
        <v>146</v>
      </c>
      <c r="D135" s="45" t="s">
        <v>240</v>
      </c>
      <c r="E135" s="45" t="s">
        <v>293</v>
      </c>
      <c r="F135" s="46" t="n">
        <v>3951</v>
      </c>
      <c r="G135" s="45" t="s">
        <v>270</v>
      </c>
      <c r="H135" s="45" t="s">
        <v>274</v>
      </c>
      <c r="I135" s="46" t="n">
        <v>3083.1</v>
      </c>
      <c r="J135" s="47" t="n">
        <v>20.2</v>
      </c>
      <c r="K135" s="47" t="n">
        <v>19.8</v>
      </c>
      <c r="L135" s="48" t="n">
        <v>2.68</v>
      </c>
      <c r="M135" s="49" t="n">
        <v>5</v>
      </c>
      <c r="N135" s="47" t="n">
        <v>34.1</v>
      </c>
      <c r="O135" s="48" t="n">
        <v>5.412</v>
      </c>
      <c r="P135" s="46" t="n">
        <f aca="false">SUM(I135:J135)+SUM(L135:O135)</f>
        <v>3150.492</v>
      </c>
      <c r="Q135" s="46" t="n">
        <v>3523.6</v>
      </c>
      <c r="R135" s="50" t="n">
        <f aca="false">IF(Q135="","",P135/Q135-1)</f>
        <v>-0.105888296060847</v>
      </c>
      <c r="S135" s="45"/>
    </row>
    <row r="136" customFormat="false" ht="15" hidden="false" customHeight="false" outlineLevel="0" collapsed="false">
      <c r="A136" s="37" t="s">
        <v>134</v>
      </c>
      <c r="B136" s="37" t="n">
        <v>2030</v>
      </c>
      <c r="C136" s="37" t="s">
        <v>151</v>
      </c>
      <c r="D136" s="37" t="s">
        <v>243</v>
      </c>
      <c r="E136" s="37" t="s">
        <v>294</v>
      </c>
      <c r="F136" s="38" t="n">
        <v>7519</v>
      </c>
      <c r="G136" s="37" t="s">
        <v>270</v>
      </c>
      <c r="H136" s="37" t="s">
        <v>271</v>
      </c>
      <c r="I136" s="38" t="n">
        <v>6982.1</v>
      </c>
      <c r="J136" s="39" t="n">
        <v>68.2</v>
      </c>
      <c r="K136" s="39" t="n">
        <v>67.7</v>
      </c>
      <c r="L136" s="40" t="n">
        <v>4.77</v>
      </c>
      <c r="M136" s="41" t="n">
        <v>5</v>
      </c>
      <c r="N136" s="39" t="n">
        <v>1</v>
      </c>
      <c r="O136" s="40" t="n">
        <v>5.412</v>
      </c>
      <c r="P136" s="42" t="n">
        <f aca="false">SUM(I136:J136)+SUM(L136:O136)</f>
        <v>7066.482</v>
      </c>
      <c r="Q136" s="42" t="n">
        <v>14470</v>
      </c>
      <c r="R136" s="43" t="n">
        <f aca="false">IF(Q136="","",P136/Q136-1)</f>
        <v>-0.51164602626123</v>
      </c>
      <c r="S136" s="44" t="s">
        <v>272</v>
      </c>
    </row>
    <row r="137" customFormat="false" ht="15" hidden="false" customHeight="false" outlineLevel="0" collapsed="false">
      <c r="A137" s="45" t="s">
        <v>134</v>
      </c>
      <c r="B137" s="45" t="n">
        <v>2030</v>
      </c>
      <c r="C137" s="45" t="s">
        <v>155</v>
      </c>
      <c r="D137" s="45" t="s">
        <v>245</v>
      </c>
      <c r="E137" s="45" t="s">
        <v>294</v>
      </c>
      <c r="F137" s="46" t="n">
        <v>3210</v>
      </c>
      <c r="G137" s="45" t="s">
        <v>273</v>
      </c>
      <c r="H137" s="45" t="s">
        <v>271</v>
      </c>
      <c r="I137" s="46" t="n">
        <v>7523</v>
      </c>
      <c r="J137" s="47" t="n">
        <v>24.6</v>
      </c>
      <c r="K137" s="47" t="n">
        <v>28.9</v>
      </c>
      <c r="L137" s="48" t="n">
        <v>2.04</v>
      </c>
      <c r="M137" s="49" t="n">
        <v>5</v>
      </c>
      <c r="N137" s="47" t="n">
        <v>1</v>
      </c>
      <c r="O137" s="48" t="n">
        <v>5.412</v>
      </c>
      <c r="P137" s="46" t="n">
        <f aca="false">SUM(I137:J137)+SUM(L137:O137)</f>
        <v>7561.052</v>
      </c>
      <c r="Q137" s="46" t="n">
        <v>14470</v>
      </c>
      <c r="R137" s="50" t="n">
        <f aca="false">IF(Q137="","",P137/Q137-1)</f>
        <v>-0.477467035245335</v>
      </c>
      <c r="S137" s="45"/>
    </row>
    <row r="138" customFormat="false" ht="15" hidden="false" customHeight="false" outlineLevel="0" collapsed="false">
      <c r="A138" s="37" t="s">
        <v>134</v>
      </c>
      <c r="B138" s="37" t="n">
        <v>2030</v>
      </c>
      <c r="C138" s="37" t="s">
        <v>146</v>
      </c>
      <c r="D138" s="37" t="s">
        <v>240</v>
      </c>
      <c r="E138" s="37" t="s">
        <v>294</v>
      </c>
      <c r="F138" s="38" t="n">
        <v>5149</v>
      </c>
      <c r="G138" s="37" t="s">
        <v>270</v>
      </c>
      <c r="H138" s="37" t="s">
        <v>271</v>
      </c>
      <c r="I138" s="38" t="n">
        <v>7241.5</v>
      </c>
      <c r="J138" s="39" t="n">
        <v>53.8</v>
      </c>
      <c r="K138" s="39" t="n">
        <v>46.3</v>
      </c>
      <c r="L138" s="40" t="n">
        <v>3.27</v>
      </c>
      <c r="M138" s="41" t="n">
        <v>5</v>
      </c>
      <c r="N138" s="39" t="n">
        <v>1</v>
      </c>
      <c r="O138" s="40" t="n">
        <v>5.412</v>
      </c>
      <c r="P138" s="38" t="n">
        <f aca="false">SUM(I138:J138)+SUM(L138:O138)</f>
        <v>7309.982</v>
      </c>
      <c r="Q138" s="38" t="n">
        <v>14470</v>
      </c>
      <c r="R138" s="51" t="n">
        <f aca="false">IF(Q138="","",P138/Q138-1)</f>
        <v>-0.494818106427091</v>
      </c>
      <c r="S138" s="37"/>
    </row>
    <row r="139" customFormat="false" ht="15" hidden="false" customHeight="false" outlineLevel="0" collapsed="false">
      <c r="A139" s="45" t="s">
        <v>134</v>
      </c>
      <c r="B139" s="45" t="n">
        <v>2050</v>
      </c>
      <c r="C139" s="45" t="s">
        <v>151</v>
      </c>
      <c r="D139" s="45" t="s">
        <v>243</v>
      </c>
      <c r="E139" s="45" t="s">
        <v>294</v>
      </c>
      <c r="F139" s="46" t="n">
        <v>7519</v>
      </c>
      <c r="G139" s="45" t="s">
        <v>270</v>
      </c>
      <c r="H139" s="45" t="s">
        <v>274</v>
      </c>
      <c r="I139" s="46" t="n">
        <v>2979.1</v>
      </c>
      <c r="J139" s="47" t="n">
        <v>30.5</v>
      </c>
      <c r="K139" s="47" t="n">
        <v>37.6</v>
      </c>
      <c r="L139" s="48" t="n">
        <v>5.09</v>
      </c>
      <c r="M139" s="49" t="n">
        <v>5</v>
      </c>
      <c r="N139" s="47" t="n">
        <v>1</v>
      </c>
      <c r="O139" s="48" t="n">
        <v>5.412</v>
      </c>
      <c r="P139" s="52" t="n">
        <f aca="false">SUM(I139:J139)+SUM(L139:O139)</f>
        <v>3026.102</v>
      </c>
      <c r="Q139" s="52" t="n">
        <v>5378</v>
      </c>
      <c r="R139" s="53" t="n">
        <f aca="false">IF(Q139="","",P139/Q139-1)</f>
        <v>-0.437318333953142</v>
      </c>
      <c r="S139" s="54" t="s">
        <v>272</v>
      </c>
    </row>
    <row r="140" customFormat="false" ht="15" hidden="false" customHeight="false" outlineLevel="0" collapsed="false">
      <c r="A140" s="37" t="s">
        <v>134</v>
      </c>
      <c r="B140" s="37" t="n">
        <v>2050</v>
      </c>
      <c r="C140" s="37" t="s">
        <v>155</v>
      </c>
      <c r="D140" s="37" t="s">
        <v>245</v>
      </c>
      <c r="E140" s="37" t="s">
        <v>294</v>
      </c>
      <c r="F140" s="38" t="n">
        <v>3210</v>
      </c>
      <c r="G140" s="37" t="s">
        <v>273</v>
      </c>
      <c r="H140" s="37" t="s">
        <v>274</v>
      </c>
      <c r="I140" s="38" t="n">
        <v>3148</v>
      </c>
      <c r="J140" s="39" t="n">
        <v>11.7</v>
      </c>
      <c r="K140" s="39" t="n">
        <v>16.1</v>
      </c>
      <c r="L140" s="40" t="n">
        <v>2.17</v>
      </c>
      <c r="M140" s="41" t="n">
        <v>5</v>
      </c>
      <c r="N140" s="39" t="n">
        <v>1</v>
      </c>
      <c r="O140" s="40" t="n">
        <v>5.412</v>
      </c>
      <c r="P140" s="38" t="n">
        <f aca="false">SUM(I140:J140)+SUM(L140:O140)</f>
        <v>3173.282</v>
      </c>
      <c r="Q140" s="38" t="n">
        <v>5378</v>
      </c>
      <c r="R140" s="51" t="n">
        <f aca="false">IF(Q140="","",P140/Q140-1)</f>
        <v>-0.409951283004835</v>
      </c>
      <c r="S140" s="37"/>
    </row>
    <row r="141" customFormat="false" ht="15" hidden="false" customHeight="false" outlineLevel="0" collapsed="false">
      <c r="A141" s="45" t="s">
        <v>134</v>
      </c>
      <c r="B141" s="45" t="n">
        <v>2050</v>
      </c>
      <c r="C141" s="45" t="s">
        <v>146</v>
      </c>
      <c r="D141" s="45" t="s">
        <v>240</v>
      </c>
      <c r="E141" s="45" t="s">
        <v>294</v>
      </c>
      <c r="F141" s="46" t="n">
        <v>5149</v>
      </c>
      <c r="G141" s="45" t="s">
        <v>270</v>
      </c>
      <c r="H141" s="45" t="s">
        <v>274</v>
      </c>
      <c r="I141" s="46" t="n">
        <v>3083.1</v>
      </c>
      <c r="J141" s="47" t="n">
        <v>23.7</v>
      </c>
      <c r="K141" s="47" t="n">
        <v>25.7</v>
      </c>
      <c r="L141" s="48" t="n">
        <v>3.49</v>
      </c>
      <c r="M141" s="49" t="n">
        <v>5</v>
      </c>
      <c r="N141" s="47" t="n">
        <v>1</v>
      </c>
      <c r="O141" s="48" t="n">
        <v>5.412</v>
      </c>
      <c r="P141" s="46" t="n">
        <f aca="false">SUM(I141:J141)+SUM(L141:O141)</f>
        <v>3121.702</v>
      </c>
      <c r="Q141" s="46" t="n">
        <v>5378</v>
      </c>
      <c r="R141" s="50" t="n">
        <f aca="false">IF(Q141="","",P141/Q141-1)</f>
        <v>-0.419542208999628</v>
      </c>
      <c r="S141" s="45"/>
    </row>
    <row r="142" customFormat="false" ht="15" hidden="false" customHeight="false" outlineLevel="0" collapsed="false">
      <c r="A142" s="37" t="s">
        <v>106</v>
      </c>
      <c r="B142" s="37" t="n">
        <v>2030</v>
      </c>
      <c r="C142" s="37" t="s">
        <v>151</v>
      </c>
      <c r="D142" s="37" t="s">
        <v>243</v>
      </c>
      <c r="E142" s="37" t="s">
        <v>295</v>
      </c>
      <c r="F142" s="38" t="n">
        <v>3957</v>
      </c>
      <c r="G142" s="37" t="s">
        <v>270</v>
      </c>
      <c r="H142" s="37" t="s">
        <v>271</v>
      </c>
      <c r="I142" s="38" t="n">
        <v>6982.1</v>
      </c>
      <c r="J142" s="39" t="n">
        <v>46.6</v>
      </c>
      <c r="K142" s="39" t="n">
        <v>35.6</v>
      </c>
      <c r="L142" s="40" t="n">
        <v>2.51</v>
      </c>
      <c r="M142" s="41" t="n">
        <v>5</v>
      </c>
      <c r="N142" s="39" t="n">
        <v>0.7</v>
      </c>
      <c r="O142" s="40" t="n">
        <v>5.412</v>
      </c>
      <c r="P142" s="42" t="n">
        <f aca="false">SUM(I142:J142)+SUM(L142:O142)</f>
        <v>7042.322</v>
      </c>
      <c r="Q142" s="42" t="n">
        <v>12310.6</v>
      </c>
      <c r="R142" s="43" t="n">
        <f aca="false">IF(Q142="","",P142/Q142-1)</f>
        <v>-0.427946485142885</v>
      </c>
      <c r="S142" s="44" t="s">
        <v>272</v>
      </c>
    </row>
    <row r="143" customFormat="false" ht="15" hidden="false" customHeight="false" outlineLevel="0" collapsed="false">
      <c r="A143" s="45" t="s">
        <v>106</v>
      </c>
      <c r="B143" s="45" t="n">
        <v>2030</v>
      </c>
      <c r="C143" s="45" t="s">
        <v>155</v>
      </c>
      <c r="D143" s="45" t="s">
        <v>245</v>
      </c>
      <c r="E143" s="45" t="s">
        <v>295</v>
      </c>
      <c r="F143" s="46" t="n">
        <v>1964</v>
      </c>
      <c r="G143" s="45" t="s">
        <v>273</v>
      </c>
      <c r="H143" s="45" t="s">
        <v>271</v>
      </c>
      <c r="I143" s="46" t="n">
        <v>7523</v>
      </c>
      <c r="J143" s="47" t="n">
        <v>17</v>
      </c>
      <c r="K143" s="47" t="n">
        <v>17.7</v>
      </c>
      <c r="L143" s="48" t="n">
        <v>1.25</v>
      </c>
      <c r="M143" s="49" t="n">
        <v>5</v>
      </c>
      <c r="N143" s="47" t="n">
        <v>0.7</v>
      </c>
      <c r="O143" s="48" t="n">
        <v>5.412</v>
      </c>
      <c r="P143" s="46" t="n">
        <f aca="false">SUM(I143:J143)+SUM(L143:O143)</f>
        <v>7552.362</v>
      </c>
      <c r="Q143" s="46" t="n">
        <v>12310.6</v>
      </c>
      <c r="R143" s="50" t="n">
        <f aca="false">IF(Q143="","",P143/Q143-1)</f>
        <v>-0.386515523207642</v>
      </c>
      <c r="S143" s="45"/>
    </row>
    <row r="144" customFormat="false" ht="15" hidden="false" customHeight="false" outlineLevel="0" collapsed="false">
      <c r="A144" s="37" t="s">
        <v>106</v>
      </c>
      <c r="B144" s="37" t="n">
        <v>2030</v>
      </c>
      <c r="C144" s="37" t="s">
        <v>146</v>
      </c>
      <c r="D144" s="37" t="s">
        <v>240</v>
      </c>
      <c r="E144" s="37" t="s">
        <v>295</v>
      </c>
      <c r="F144" s="38" t="n">
        <v>1587</v>
      </c>
      <c r="G144" s="37" t="s">
        <v>270</v>
      </c>
      <c r="H144" s="37" t="s">
        <v>271</v>
      </c>
      <c r="I144" s="38" t="n">
        <v>7241.5</v>
      </c>
      <c r="J144" s="39" t="n">
        <v>32.2</v>
      </c>
      <c r="K144" s="39" t="n">
        <v>14.3</v>
      </c>
      <c r="L144" s="40" t="n">
        <v>1.01</v>
      </c>
      <c r="M144" s="41" t="n">
        <v>5</v>
      </c>
      <c r="N144" s="39" t="n">
        <v>0.7</v>
      </c>
      <c r="O144" s="40" t="n">
        <v>5.412</v>
      </c>
      <c r="P144" s="38" t="n">
        <f aca="false">SUM(I144:J144)+SUM(L144:O144)</f>
        <v>7285.822</v>
      </c>
      <c r="Q144" s="38" t="n">
        <v>12310.6</v>
      </c>
      <c r="R144" s="51" t="n">
        <f aca="false">IF(Q144="","",P144/Q144-1)</f>
        <v>-0.408166783097493</v>
      </c>
      <c r="S144" s="37"/>
    </row>
    <row r="145" customFormat="false" ht="15" hidden="false" customHeight="false" outlineLevel="0" collapsed="false">
      <c r="A145" s="45" t="s">
        <v>106</v>
      </c>
      <c r="B145" s="45" t="n">
        <v>2050</v>
      </c>
      <c r="C145" s="45" t="s">
        <v>151</v>
      </c>
      <c r="D145" s="45" t="s">
        <v>243</v>
      </c>
      <c r="E145" s="45" t="s">
        <v>295</v>
      </c>
      <c r="F145" s="46" t="n">
        <v>3957</v>
      </c>
      <c r="G145" s="45" t="s">
        <v>270</v>
      </c>
      <c r="H145" s="45" t="s">
        <v>274</v>
      </c>
      <c r="I145" s="46" t="n">
        <v>2979.1</v>
      </c>
      <c r="J145" s="47" t="n">
        <v>20.2</v>
      </c>
      <c r="K145" s="47" t="n">
        <v>19.8</v>
      </c>
      <c r="L145" s="48" t="n">
        <v>2.68</v>
      </c>
      <c r="M145" s="49" t="n">
        <v>5</v>
      </c>
      <c r="N145" s="47" t="n">
        <v>0.7</v>
      </c>
      <c r="O145" s="48" t="n">
        <v>5.412</v>
      </c>
      <c r="P145" s="52" t="n">
        <f aca="false">SUM(I145:J145)+SUM(L145:O145)</f>
        <v>3013.092</v>
      </c>
      <c r="Q145" s="52" t="n">
        <v>3859.2</v>
      </c>
      <c r="R145" s="53" t="n">
        <f aca="false">IF(Q145="","",P145/Q145-1)</f>
        <v>-0.219244402985075</v>
      </c>
      <c r="S145" s="54" t="s">
        <v>272</v>
      </c>
    </row>
    <row r="146" customFormat="false" ht="15" hidden="false" customHeight="false" outlineLevel="0" collapsed="false">
      <c r="A146" s="37" t="s">
        <v>106</v>
      </c>
      <c r="B146" s="37" t="n">
        <v>2050</v>
      </c>
      <c r="C146" s="37" t="s">
        <v>155</v>
      </c>
      <c r="D146" s="37" t="s">
        <v>245</v>
      </c>
      <c r="E146" s="37" t="s">
        <v>295</v>
      </c>
      <c r="F146" s="38" t="n">
        <v>1964</v>
      </c>
      <c r="G146" s="37" t="s">
        <v>273</v>
      </c>
      <c r="H146" s="37" t="s">
        <v>274</v>
      </c>
      <c r="I146" s="38" t="n">
        <v>3148</v>
      </c>
      <c r="J146" s="39" t="n">
        <v>8.1</v>
      </c>
      <c r="K146" s="39" t="n">
        <v>9.8</v>
      </c>
      <c r="L146" s="40" t="n">
        <v>1.33</v>
      </c>
      <c r="M146" s="41" t="n">
        <v>5</v>
      </c>
      <c r="N146" s="39" t="n">
        <v>0.7</v>
      </c>
      <c r="O146" s="40" t="n">
        <v>5.412</v>
      </c>
      <c r="P146" s="38" t="n">
        <f aca="false">SUM(I146:J146)+SUM(L146:O146)</f>
        <v>3168.542</v>
      </c>
      <c r="Q146" s="38" t="n">
        <v>3859.2</v>
      </c>
      <c r="R146" s="51" t="n">
        <f aca="false">IF(Q146="","",P146/Q146-1)</f>
        <v>-0.178964033996683</v>
      </c>
      <c r="S146" s="37"/>
    </row>
    <row r="147" customFormat="false" ht="15" hidden="false" customHeight="false" outlineLevel="0" collapsed="false">
      <c r="A147" s="45" t="s">
        <v>106</v>
      </c>
      <c r="B147" s="45" t="n">
        <v>2050</v>
      </c>
      <c r="C147" s="45" t="s">
        <v>146</v>
      </c>
      <c r="D147" s="45" t="s">
        <v>240</v>
      </c>
      <c r="E147" s="45" t="s">
        <v>295</v>
      </c>
      <c r="F147" s="46" t="n">
        <v>1587</v>
      </c>
      <c r="G147" s="45" t="s">
        <v>270</v>
      </c>
      <c r="H147" s="45" t="s">
        <v>274</v>
      </c>
      <c r="I147" s="46" t="n">
        <v>3083.1</v>
      </c>
      <c r="J147" s="47" t="n">
        <v>13.3</v>
      </c>
      <c r="K147" s="47" t="n">
        <v>7.9</v>
      </c>
      <c r="L147" s="48" t="n">
        <v>1.08</v>
      </c>
      <c r="M147" s="49" t="n">
        <v>5</v>
      </c>
      <c r="N147" s="47" t="n">
        <v>0.7</v>
      </c>
      <c r="O147" s="48" t="n">
        <v>5.412</v>
      </c>
      <c r="P147" s="46" t="n">
        <f aca="false">SUM(I147:J147)+SUM(L147:O147)</f>
        <v>3108.592</v>
      </c>
      <c r="Q147" s="46" t="n">
        <v>3859.2</v>
      </c>
      <c r="R147" s="50" t="n">
        <f aca="false">IF(Q147="","",P147/Q147-1)</f>
        <v>-0.194498341625207</v>
      </c>
      <c r="S147" s="45"/>
    </row>
    <row r="148" customFormat="false" ht="15" hidden="false" customHeight="false" outlineLevel="0" collapsed="false">
      <c r="A148" s="37" t="s">
        <v>67</v>
      </c>
      <c r="B148" s="37" t="n">
        <v>2030</v>
      </c>
      <c r="C148" s="37" t="s">
        <v>151</v>
      </c>
      <c r="D148" s="37" t="s">
        <v>243</v>
      </c>
      <c r="E148" s="37" t="s">
        <v>296</v>
      </c>
      <c r="F148" s="38" t="n">
        <v>6444</v>
      </c>
      <c r="G148" s="37" t="s">
        <v>270</v>
      </c>
      <c r="H148" s="37" t="s">
        <v>271</v>
      </c>
      <c r="I148" s="38" t="n">
        <v>6982.1</v>
      </c>
      <c r="J148" s="39" t="n">
        <v>61.7</v>
      </c>
      <c r="K148" s="39" t="n">
        <v>58</v>
      </c>
      <c r="L148" s="40" t="n">
        <v>4.09</v>
      </c>
      <c r="M148" s="41" t="n">
        <v>5</v>
      </c>
      <c r="N148" s="39" t="n">
        <v>6.2</v>
      </c>
      <c r="O148" s="40" t="n">
        <v>5.412</v>
      </c>
      <c r="P148" s="42" t="n">
        <f aca="false">SUM(I148:J148)+SUM(L148:O148)</f>
        <v>7064.502</v>
      </c>
      <c r="Q148" s="42" t="n">
        <v>6524.4</v>
      </c>
      <c r="R148" s="43" t="n">
        <f aca="false">IF(Q148="","",P148/Q148-1)</f>
        <v>0.0827818649990806</v>
      </c>
      <c r="S148" s="44" t="s">
        <v>278</v>
      </c>
    </row>
    <row r="149" customFormat="false" ht="15" hidden="false" customHeight="false" outlineLevel="0" collapsed="false">
      <c r="A149" s="45" t="s">
        <v>67</v>
      </c>
      <c r="B149" s="45" t="n">
        <v>2030</v>
      </c>
      <c r="C149" s="45" t="s">
        <v>155</v>
      </c>
      <c r="D149" s="45" t="s">
        <v>245</v>
      </c>
      <c r="E149" s="45" t="s">
        <v>296</v>
      </c>
      <c r="F149" s="46" t="n">
        <v>2136</v>
      </c>
      <c r="G149" s="45" t="s">
        <v>273</v>
      </c>
      <c r="H149" s="45" t="s">
        <v>271</v>
      </c>
      <c r="I149" s="46" t="n">
        <v>7523</v>
      </c>
      <c r="J149" s="47" t="n">
        <v>18</v>
      </c>
      <c r="K149" s="47" t="n">
        <v>19.2</v>
      </c>
      <c r="L149" s="48" t="n">
        <v>1.36</v>
      </c>
      <c r="M149" s="49" t="n">
        <v>5</v>
      </c>
      <c r="N149" s="47" t="n">
        <v>6.2</v>
      </c>
      <c r="O149" s="48" t="n">
        <v>5.412</v>
      </c>
      <c r="P149" s="46" t="n">
        <f aca="false">SUM(I149:J149)+SUM(L149:O149)</f>
        <v>7558.972</v>
      </c>
      <c r="Q149" s="46" t="n">
        <v>6524.4</v>
      </c>
      <c r="R149" s="50" t="n">
        <f aca="false">IF(Q149="","",P149/Q149-1)</f>
        <v>0.158569676905156</v>
      </c>
      <c r="S149" s="45"/>
    </row>
    <row r="150" customFormat="false" ht="15" hidden="false" customHeight="false" outlineLevel="0" collapsed="false">
      <c r="A150" s="37" t="s">
        <v>67</v>
      </c>
      <c r="B150" s="37" t="n">
        <v>2030</v>
      </c>
      <c r="C150" s="37" t="s">
        <v>146</v>
      </c>
      <c r="D150" s="37" t="s">
        <v>240</v>
      </c>
      <c r="E150" s="37" t="s">
        <v>296</v>
      </c>
      <c r="F150" s="38" t="n">
        <v>4074</v>
      </c>
      <c r="G150" s="37" t="s">
        <v>270</v>
      </c>
      <c r="H150" s="37" t="s">
        <v>271</v>
      </c>
      <c r="I150" s="38" t="n">
        <v>7241.5</v>
      </c>
      <c r="J150" s="39" t="n">
        <v>47.3</v>
      </c>
      <c r="K150" s="39" t="n">
        <v>36.7</v>
      </c>
      <c r="L150" s="40" t="n">
        <v>2.59</v>
      </c>
      <c r="M150" s="41" t="n">
        <v>5</v>
      </c>
      <c r="N150" s="39" t="n">
        <v>6.2</v>
      </c>
      <c r="O150" s="40" t="n">
        <v>5.412</v>
      </c>
      <c r="P150" s="38" t="n">
        <f aca="false">SUM(I150:J150)+SUM(L150:O150)</f>
        <v>7308.002</v>
      </c>
      <c r="Q150" s="38" t="n">
        <v>6524.4</v>
      </c>
      <c r="R150" s="51" t="n">
        <f aca="false">IF(Q150="","",P150/Q150-1)</f>
        <v>0.120103304518423</v>
      </c>
      <c r="S150" s="37"/>
    </row>
    <row r="151" customFormat="false" ht="15" hidden="false" customHeight="false" outlineLevel="0" collapsed="false">
      <c r="A151" s="45" t="s">
        <v>67</v>
      </c>
      <c r="B151" s="45" t="n">
        <v>2050</v>
      </c>
      <c r="C151" s="45" t="s">
        <v>151</v>
      </c>
      <c r="D151" s="45" t="s">
        <v>243</v>
      </c>
      <c r="E151" s="45" t="s">
        <v>296</v>
      </c>
      <c r="F151" s="46" t="n">
        <v>6444</v>
      </c>
      <c r="G151" s="45" t="s">
        <v>270</v>
      </c>
      <c r="H151" s="45" t="s">
        <v>274</v>
      </c>
      <c r="I151" s="46" t="n">
        <v>2979.1</v>
      </c>
      <c r="J151" s="47" t="n">
        <v>27.4</v>
      </c>
      <c r="K151" s="47" t="n">
        <v>32.2</v>
      </c>
      <c r="L151" s="48" t="n">
        <v>4.37</v>
      </c>
      <c r="M151" s="49" t="n">
        <v>5</v>
      </c>
      <c r="N151" s="47" t="n">
        <v>6.2</v>
      </c>
      <c r="O151" s="48" t="n">
        <v>5.412</v>
      </c>
      <c r="P151" s="52" t="n">
        <f aca="false">SUM(I151:J151)+SUM(L151:O151)</f>
        <v>3027.482</v>
      </c>
      <c r="Q151" s="52" t="n">
        <v>3273.2</v>
      </c>
      <c r="R151" s="53" t="n">
        <f aca="false">IF(Q151="","",P151/Q151-1)</f>
        <v>-0.075069656605157</v>
      </c>
      <c r="S151" s="54" t="s">
        <v>272</v>
      </c>
    </row>
    <row r="152" customFormat="false" ht="15" hidden="false" customHeight="false" outlineLevel="0" collapsed="false">
      <c r="A152" s="37" t="s">
        <v>67</v>
      </c>
      <c r="B152" s="37" t="n">
        <v>2050</v>
      </c>
      <c r="C152" s="37" t="s">
        <v>155</v>
      </c>
      <c r="D152" s="37" t="s">
        <v>245</v>
      </c>
      <c r="E152" s="37" t="s">
        <v>296</v>
      </c>
      <c r="F152" s="38" t="n">
        <v>2136</v>
      </c>
      <c r="G152" s="37" t="s">
        <v>273</v>
      </c>
      <c r="H152" s="37" t="s">
        <v>274</v>
      </c>
      <c r="I152" s="38" t="n">
        <v>3148</v>
      </c>
      <c r="J152" s="39" t="n">
        <v>8.6</v>
      </c>
      <c r="K152" s="39" t="n">
        <v>10.7</v>
      </c>
      <c r="L152" s="40" t="n">
        <v>1.45</v>
      </c>
      <c r="M152" s="41" t="n">
        <v>5</v>
      </c>
      <c r="N152" s="39" t="n">
        <v>6.2</v>
      </c>
      <c r="O152" s="40" t="n">
        <v>5.412</v>
      </c>
      <c r="P152" s="38" t="n">
        <f aca="false">SUM(I152:J152)+SUM(L152:O152)</f>
        <v>3174.662</v>
      </c>
      <c r="Q152" s="38" t="n">
        <v>3273.2</v>
      </c>
      <c r="R152" s="51" t="n">
        <f aca="false">IF(Q152="","",P152/Q152-1)</f>
        <v>-0.0301044849077355</v>
      </c>
      <c r="S152" s="37"/>
    </row>
    <row r="153" customFormat="false" ht="15" hidden="false" customHeight="false" outlineLevel="0" collapsed="false">
      <c r="A153" s="45" t="s">
        <v>67</v>
      </c>
      <c r="B153" s="45" t="n">
        <v>2050</v>
      </c>
      <c r="C153" s="45" t="s">
        <v>146</v>
      </c>
      <c r="D153" s="45" t="s">
        <v>240</v>
      </c>
      <c r="E153" s="45" t="s">
        <v>296</v>
      </c>
      <c r="F153" s="46" t="n">
        <v>4074</v>
      </c>
      <c r="G153" s="45" t="s">
        <v>270</v>
      </c>
      <c r="H153" s="45" t="s">
        <v>274</v>
      </c>
      <c r="I153" s="46" t="n">
        <v>3083.1</v>
      </c>
      <c r="J153" s="47" t="n">
        <v>20.5</v>
      </c>
      <c r="K153" s="47" t="n">
        <v>20.4</v>
      </c>
      <c r="L153" s="48" t="n">
        <v>2.76</v>
      </c>
      <c r="M153" s="49" t="n">
        <v>5</v>
      </c>
      <c r="N153" s="47" t="n">
        <v>6.2</v>
      </c>
      <c r="O153" s="48" t="n">
        <v>5.412</v>
      </c>
      <c r="P153" s="46" t="n">
        <f aca="false">SUM(I153:J153)+SUM(L153:O153)</f>
        <v>3122.972</v>
      </c>
      <c r="Q153" s="46" t="n">
        <v>3273.2</v>
      </c>
      <c r="R153" s="50" t="n">
        <f aca="false">IF(Q153="","",P153/Q153-1)</f>
        <v>-0.0458963705242577</v>
      </c>
      <c r="S153" s="45"/>
    </row>
    <row r="154" customFormat="false" ht="15" hidden="false" customHeight="false" outlineLevel="0" collapsed="false">
      <c r="A154" s="37" t="s">
        <v>79</v>
      </c>
      <c r="B154" s="37" t="n">
        <v>2030</v>
      </c>
      <c r="C154" s="37" t="s">
        <v>151</v>
      </c>
      <c r="D154" s="37" t="s">
        <v>243</v>
      </c>
      <c r="E154" s="37" t="s">
        <v>297</v>
      </c>
      <c r="F154" s="38" t="n">
        <v>7224</v>
      </c>
      <c r="G154" s="37" t="s">
        <v>270</v>
      </c>
      <c r="H154" s="37" t="s">
        <v>271</v>
      </c>
      <c r="I154" s="38" t="n">
        <v>6982.1</v>
      </c>
      <c r="J154" s="39" t="n">
        <v>66.4</v>
      </c>
      <c r="K154" s="39" t="n">
        <v>65</v>
      </c>
      <c r="L154" s="40" t="n">
        <v>4.58</v>
      </c>
      <c r="M154" s="41" t="n">
        <v>5</v>
      </c>
      <c r="N154" s="39" t="n">
        <v>35.7</v>
      </c>
      <c r="O154" s="40" t="n">
        <v>5.412</v>
      </c>
      <c r="P154" s="42" t="n">
        <f aca="false">SUM(I154:J154)+SUM(L154:O154)</f>
        <v>7099.192</v>
      </c>
      <c r="Q154" s="42" t="n">
        <v>7587.9</v>
      </c>
      <c r="R154" s="43" t="n">
        <f aca="false">IF(Q154="","",P154/Q154-1)</f>
        <v>-0.0644062257014457</v>
      </c>
      <c r="S154" s="44" t="s">
        <v>272</v>
      </c>
    </row>
    <row r="155" customFormat="false" ht="15" hidden="false" customHeight="false" outlineLevel="0" collapsed="false">
      <c r="A155" s="45" t="s">
        <v>79</v>
      </c>
      <c r="B155" s="45" t="n">
        <v>2030</v>
      </c>
      <c r="C155" s="45" t="s">
        <v>155</v>
      </c>
      <c r="D155" s="45" t="s">
        <v>245</v>
      </c>
      <c r="E155" s="45" t="s">
        <v>297</v>
      </c>
      <c r="F155" s="46" t="n">
        <v>2915</v>
      </c>
      <c r="G155" s="45" t="s">
        <v>273</v>
      </c>
      <c r="H155" s="45" t="s">
        <v>271</v>
      </c>
      <c r="I155" s="46" t="n">
        <v>7523</v>
      </c>
      <c r="J155" s="47" t="n">
        <v>22.8</v>
      </c>
      <c r="K155" s="47" t="n">
        <v>26.2</v>
      </c>
      <c r="L155" s="48" t="n">
        <v>1.85</v>
      </c>
      <c r="M155" s="49" t="n">
        <v>5</v>
      </c>
      <c r="N155" s="47" t="n">
        <v>35.7</v>
      </c>
      <c r="O155" s="48" t="n">
        <v>5.412</v>
      </c>
      <c r="P155" s="46" t="n">
        <f aca="false">SUM(I155:J155)+SUM(L155:O155)</f>
        <v>7593.762</v>
      </c>
      <c r="Q155" s="46" t="n">
        <v>7587.9</v>
      </c>
      <c r="R155" s="50" t="n">
        <f aca="false">IF(Q155="","",P155/Q155-1)</f>
        <v>0.000772545763650046</v>
      </c>
      <c r="S155" s="45"/>
    </row>
    <row r="156" customFormat="false" ht="15" hidden="false" customHeight="false" outlineLevel="0" collapsed="false">
      <c r="A156" s="37" t="s">
        <v>79</v>
      </c>
      <c r="B156" s="37" t="n">
        <v>2030</v>
      </c>
      <c r="C156" s="37" t="s">
        <v>146</v>
      </c>
      <c r="D156" s="37" t="s">
        <v>240</v>
      </c>
      <c r="E156" s="37" t="s">
        <v>297</v>
      </c>
      <c r="F156" s="38" t="n">
        <v>4854</v>
      </c>
      <c r="G156" s="37" t="s">
        <v>270</v>
      </c>
      <c r="H156" s="37" t="s">
        <v>271</v>
      </c>
      <c r="I156" s="38" t="n">
        <v>7241.5</v>
      </c>
      <c r="J156" s="39" t="n">
        <v>52</v>
      </c>
      <c r="K156" s="39" t="n">
        <v>43.7</v>
      </c>
      <c r="L156" s="40" t="n">
        <v>3.08</v>
      </c>
      <c r="M156" s="41" t="n">
        <v>5</v>
      </c>
      <c r="N156" s="39" t="n">
        <v>35.7</v>
      </c>
      <c r="O156" s="40" t="n">
        <v>5.412</v>
      </c>
      <c r="P156" s="38" t="n">
        <f aca="false">SUM(I156:J156)+SUM(L156:O156)</f>
        <v>7342.692</v>
      </c>
      <c r="Q156" s="38" t="n">
        <v>7587.9</v>
      </c>
      <c r="R156" s="51" t="n">
        <f aca="false">IF(Q156="","",P156/Q156-1)</f>
        <v>-0.0323156604594156</v>
      </c>
      <c r="S156" s="37"/>
    </row>
    <row r="157" customFormat="false" ht="15" hidden="false" customHeight="false" outlineLevel="0" collapsed="false">
      <c r="A157" s="45" t="s">
        <v>79</v>
      </c>
      <c r="B157" s="45" t="n">
        <v>2050</v>
      </c>
      <c r="C157" s="45" t="s">
        <v>151</v>
      </c>
      <c r="D157" s="45" t="s">
        <v>243</v>
      </c>
      <c r="E157" s="45" t="s">
        <v>297</v>
      </c>
      <c r="F157" s="46" t="n">
        <v>7224</v>
      </c>
      <c r="G157" s="45" t="s">
        <v>270</v>
      </c>
      <c r="H157" s="45" t="s">
        <v>274</v>
      </c>
      <c r="I157" s="46" t="n">
        <v>2979.1</v>
      </c>
      <c r="J157" s="47" t="n">
        <v>29.7</v>
      </c>
      <c r="K157" s="47" t="n">
        <v>36.1</v>
      </c>
      <c r="L157" s="48" t="n">
        <v>4.89</v>
      </c>
      <c r="M157" s="49" t="n">
        <v>5</v>
      </c>
      <c r="N157" s="47" t="n">
        <v>35.7</v>
      </c>
      <c r="O157" s="48" t="n">
        <v>5.412</v>
      </c>
      <c r="P157" s="52" t="n">
        <f aca="false">SUM(I157:J157)+SUM(L157:O157)</f>
        <v>3059.802</v>
      </c>
      <c r="Q157" s="52" t="n">
        <v>3418</v>
      </c>
      <c r="R157" s="53" t="n">
        <f aca="false">IF(Q157="","",P157/Q157-1)</f>
        <v>-0.104797542422469</v>
      </c>
      <c r="S157" s="54" t="s">
        <v>272</v>
      </c>
    </row>
    <row r="158" customFormat="false" ht="15" hidden="false" customHeight="false" outlineLevel="0" collapsed="false">
      <c r="A158" s="37" t="s">
        <v>79</v>
      </c>
      <c r="B158" s="37" t="n">
        <v>2050</v>
      </c>
      <c r="C158" s="37" t="s">
        <v>155</v>
      </c>
      <c r="D158" s="37" t="s">
        <v>245</v>
      </c>
      <c r="E158" s="37" t="s">
        <v>297</v>
      </c>
      <c r="F158" s="38" t="n">
        <v>2915</v>
      </c>
      <c r="G158" s="37" t="s">
        <v>273</v>
      </c>
      <c r="H158" s="37" t="s">
        <v>274</v>
      </c>
      <c r="I158" s="38" t="n">
        <v>3148</v>
      </c>
      <c r="J158" s="39" t="n">
        <v>10.8</v>
      </c>
      <c r="K158" s="39" t="n">
        <v>14.6</v>
      </c>
      <c r="L158" s="40" t="n">
        <v>1.98</v>
      </c>
      <c r="M158" s="41" t="n">
        <v>5</v>
      </c>
      <c r="N158" s="39" t="n">
        <v>35.7</v>
      </c>
      <c r="O158" s="40" t="n">
        <v>5.412</v>
      </c>
      <c r="P158" s="38" t="n">
        <f aca="false">SUM(I158:J158)+SUM(L158:O158)</f>
        <v>3206.892</v>
      </c>
      <c r="Q158" s="38" t="n">
        <v>3418</v>
      </c>
      <c r="R158" s="51" t="n">
        <f aca="false">IF(Q158="","",P158/Q158-1)</f>
        <v>-0.061763604447045</v>
      </c>
      <c r="S158" s="37"/>
    </row>
    <row r="159" customFormat="false" ht="15" hidden="false" customHeight="false" outlineLevel="0" collapsed="false">
      <c r="A159" s="45" t="s">
        <v>79</v>
      </c>
      <c r="B159" s="45" t="n">
        <v>2050</v>
      </c>
      <c r="C159" s="45" t="s">
        <v>146</v>
      </c>
      <c r="D159" s="45" t="s">
        <v>240</v>
      </c>
      <c r="E159" s="45" t="s">
        <v>297</v>
      </c>
      <c r="F159" s="46" t="n">
        <v>4854</v>
      </c>
      <c r="G159" s="45" t="s">
        <v>270</v>
      </c>
      <c r="H159" s="45" t="s">
        <v>274</v>
      </c>
      <c r="I159" s="46" t="n">
        <v>3083.1</v>
      </c>
      <c r="J159" s="47" t="n">
        <v>22.8</v>
      </c>
      <c r="K159" s="47" t="n">
        <v>24.3</v>
      </c>
      <c r="L159" s="48" t="n">
        <v>3.29</v>
      </c>
      <c r="M159" s="49" t="n">
        <v>5</v>
      </c>
      <c r="N159" s="47" t="n">
        <v>35.7</v>
      </c>
      <c r="O159" s="48" t="n">
        <v>5.412</v>
      </c>
      <c r="P159" s="46" t="n">
        <f aca="false">SUM(I159:J159)+SUM(L159:O159)</f>
        <v>3155.302</v>
      </c>
      <c r="Q159" s="46" t="n">
        <v>3418</v>
      </c>
      <c r="R159" s="50" t="n">
        <f aca="false">IF(Q159="","",P159/Q159-1)</f>
        <v>-0.0768572264482152</v>
      </c>
      <c r="S159" s="45"/>
    </row>
    <row r="160" customFormat="false" ht="15" hidden="false" customHeight="false" outlineLevel="0" collapsed="false">
      <c r="A160" s="37" t="s">
        <v>39</v>
      </c>
      <c r="B160" s="37" t="n">
        <v>2030</v>
      </c>
      <c r="C160" s="37" t="s">
        <v>151</v>
      </c>
      <c r="D160" s="37" t="s">
        <v>243</v>
      </c>
      <c r="E160" s="37" t="s">
        <v>298</v>
      </c>
      <c r="F160" s="38" t="n">
        <v>5233</v>
      </c>
      <c r="G160" s="37" t="s">
        <v>270</v>
      </c>
      <c r="H160" s="37" t="s">
        <v>271</v>
      </c>
      <c r="I160" s="38" t="n">
        <v>6982.1</v>
      </c>
      <c r="J160" s="39" t="n">
        <v>54.3</v>
      </c>
      <c r="K160" s="39" t="n">
        <v>47.1</v>
      </c>
      <c r="L160" s="40" t="n">
        <v>3.32</v>
      </c>
      <c r="M160" s="41" t="n">
        <v>5</v>
      </c>
      <c r="N160" s="39" t="n">
        <v>11.7</v>
      </c>
      <c r="O160" s="40" t="n">
        <v>5.412</v>
      </c>
      <c r="P160" s="42" t="n">
        <f aca="false">SUM(I160:J160)+SUM(L160:O160)</f>
        <v>7061.832</v>
      </c>
      <c r="Q160" s="42" t="n">
        <v>6616.1</v>
      </c>
      <c r="R160" s="43" t="n">
        <f aca="false">IF(Q160="","",P160/Q160-1)</f>
        <v>0.0673708075754598</v>
      </c>
      <c r="S160" s="44" t="s">
        <v>278</v>
      </c>
    </row>
    <row r="161" customFormat="false" ht="15" hidden="false" customHeight="false" outlineLevel="0" collapsed="false">
      <c r="A161" s="45" t="s">
        <v>39</v>
      </c>
      <c r="B161" s="45" t="n">
        <v>2030</v>
      </c>
      <c r="C161" s="45" t="s">
        <v>155</v>
      </c>
      <c r="D161" s="45" t="s">
        <v>245</v>
      </c>
      <c r="E161" s="45" t="s">
        <v>298</v>
      </c>
      <c r="F161" s="46" t="n">
        <v>1114</v>
      </c>
      <c r="G161" s="45" t="s">
        <v>273</v>
      </c>
      <c r="H161" s="45" t="s">
        <v>271</v>
      </c>
      <c r="I161" s="46" t="n">
        <v>7523</v>
      </c>
      <c r="J161" s="47" t="n">
        <v>11.8</v>
      </c>
      <c r="K161" s="47" t="n">
        <v>10</v>
      </c>
      <c r="L161" s="48" t="n">
        <v>0.71</v>
      </c>
      <c r="M161" s="49" t="n">
        <v>5</v>
      </c>
      <c r="N161" s="47" t="n">
        <v>11.7</v>
      </c>
      <c r="O161" s="48" t="n">
        <v>5.412</v>
      </c>
      <c r="P161" s="46" t="n">
        <f aca="false">SUM(I161:J161)+SUM(L161:O161)</f>
        <v>7557.622</v>
      </c>
      <c r="Q161" s="46" t="n">
        <v>6616.1</v>
      </c>
      <c r="R161" s="50" t="n">
        <f aca="false">IF(Q161="","",P161/Q161-1)</f>
        <v>0.142307703934342</v>
      </c>
      <c r="S161" s="45"/>
    </row>
    <row r="162" customFormat="false" ht="15" hidden="false" customHeight="false" outlineLevel="0" collapsed="false">
      <c r="A162" s="37" t="s">
        <v>39</v>
      </c>
      <c r="B162" s="37" t="n">
        <v>2030</v>
      </c>
      <c r="C162" s="37" t="s">
        <v>146</v>
      </c>
      <c r="D162" s="37" t="s">
        <v>240</v>
      </c>
      <c r="E162" s="37" t="s">
        <v>298</v>
      </c>
      <c r="F162" s="38" t="n">
        <v>2863</v>
      </c>
      <c r="G162" s="37" t="s">
        <v>270</v>
      </c>
      <c r="H162" s="37" t="s">
        <v>271</v>
      </c>
      <c r="I162" s="38" t="n">
        <v>7241.5</v>
      </c>
      <c r="J162" s="39" t="n">
        <v>39.9</v>
      </c>
      <c r="K162" s="39" t="n">
        <v>25.8</v>
      </c>
      <c r="L162" s="40" t="n">
        <v>1.82</v>
      </c>
      <c r="M162" s="41" t="n">
        <v>5</v>
      </c>
      <c r="N162" s="39" t="n">
        <v>11.7</v>
      </c>
      <c r="O162" s="40" t="n">
        <v>5.412</v>
      </c>
      <c r="P162" s="38" t="n">
        <f aca="false">SUM(I162:J162)+SUM(L162:O162)</f>
        <v>7305.332</v>
      </c>
      <c r="Q162" s="38" t="n">
        <v>6616.1</v>
      </c>
      <c r="R162" s="51" t="n">
        <f aca="false">IF(Q162="","",P162/Q162-1)</f>
        <v>0.104174967125648</v>
      </c>
      <c r="S162" s="37"/>
    </row>
    <row r="163" customFormat="false" ht="15" hidden="false" customHeight="false" outlineLevel="0" collapsed="false">
      <c r="A163" s="45" t="s">
        <v>39</v>
      </c>
      <c r="B163" s="45" t="n">
        <v>2050</v>
      </c>
      <c r="C163" s="45" t="s">
        <v>151</v>
      </c>
      <c r="D163" s="45" t="s">
        <v>243</v>
      </c>
      <c r="E163" s="45" t="s">
        <v>298</v>
      </c>
      <c r="F163" s="46" t="n">
        <v>5233</v>
      </c>
      <c r="G163" s="45" t="s">
        <v>270</v>
      </c>
      <c r="H163" s="45" t="s">
        <v>274</v>
      </c>
      <c r="I163" s="46" t="n">
        <v>2979.1</v>
      </c>
      <c r="J163" s="47" t="n">
        <v>23.9</v>
      </c>
      <c r="K163" s="47" t="n">
        <v>26.2</v>
      </c>
      <c r="L163" s="48" t="n">
        <v>3.55</v>
      </c>
      <c r="M163" s="49" t="n">
        <v>5</v>
      </c>
      <c r="N163" s="47" t="n">
        <v>11.7</v>
      </c>
      <c r="O163" s="48" t="n">
        <v>5.412</v>
      </c>
      <c r="P163" s="52" t="n">
        <f aca="false">SUM(I163:J163)+SUM(L163:O163)</f>
        <v>3028.662</v>
      </c>
      <c r="Q163" s="52" t="n">
        <v>2974.3</v>
      </c>
      <c r="R163" s="53" t="n">
        <f aca="false">IF(Q163="","",P163/Q163-1)</f>
        <v>0.0182772417039303</v>
      </c>
      <c r="S163" s="54" t="s">
        <v>278</v>
      </c>
    </row>
    <row r="164" customFormat="false" ht="15" hidden="false" customHeight="false" outlineLevel="0" collapsed="false">
      <c r="A164" s="37" t="s">
        <v>39</v>
      </c>
      <c r="B164" s="37" t="n">
        <v>2050</v>
      </c>
      <c r="C164" s="37" t="s">
        <v>155</v>
      </c>
      <c r="D164" s="37" t="s">
        <v>245</v>
      </c>
      <c r="E164" s="37" t="s">
        <v>298</v>
      </c>
      <c r="F164" s="38" t="n">
        <v>1114</v>
      </c>
      <c r="G164" s="37" t="s">
        <v>273</v>
      </c>
      <c r="H164" s="37" t="s">
        <v>274</v>
      </c>
      <c r="I164" s="38" t="n">
        <v>3148</v>
      </c>
      <c r="J164" s="39" t="n">
        <v>5.6</v>
      </c>
      <c r="K164" s="39" t="n">
        <v>5.6</v>
      </c>
      <c r="L164" s="40" t="n">
        <v>0.75</v>
      </c>
      <c r="M164" s="41" t="n">
        <v>5</v>
      </c>
      <c r="N164" s="39" t="n">
        <v>11.7</v>
      </c>
      <c r="O164" s="40" t="n">
        <v>5.412</v>
      </c>
      <c r="P164" s="38" t="n">
        <f aca="false">SUM(I164:J164)+SUM(L164:O164)</f>
        <v>3176.462</v>
      </c>
      <c r="Q164" s="38" t="n">
        <v>2974.3</v>
      </c>
      <c r="R164" s="51" t="n">
        <f aca="false">IF(Q164="","",P164/Q164-1)</f>
        <v>0.0679696062939179</v>
      </c>
      <c r="S164" s="37"/>
    </row>
    <row r="165" customFormat="false" ht="15" hidden="false" customHeight="false" outlineLevel="0" collapsed="false">
      <c r="A165" s="45" t="s">
        <v>39</v>
      </c>
      <c r="B165" s="45" t="n">
        <v>2050</v>
      </c>
      <c r="C165" s="45" t="s">
        <v>146</v>
      </c>
      <c r="D165" s="45" t="s">
        <v>240</v>
      </c>
      <c r="E165" s="45" t="s">
        <v>298</v>
      </c>
      <c r="F165" s="46" t="n">
        <v>2863</v>
      </c>
      <c r="G165" s="45" t="s">
        <v>270</v>
      </c>
      <c r="H165" s="45" t="s">
        <v>274</v>
      </c>
      <c r="I165" s="46" t="n">
        <v>3083.1</v>
      </c>
      <c r="J165" s="47" t="n">
        <v>17</v>
      </c>
      <c r="K165" s="47" t="n">
        <v>14.3</v>
      </c>
      <c r="L165" s="48" t="n">
        <v>1.94</v>
      </c>
      <c r="M165" s="49" t="n">
        <v>5</v>
      </c>
      <c r="N165" s="47" t="n">
        <v>11.7</v>
      </c>
      <c r="O165" s="48" t="n">
        <v>5.412</v>
      </c>
      <c r="P165" s="46" t="n">
        <f aca="false">SUM(I165:J165)+SUM(L165:O165)</f>
        <v>3124.152</v>
      </c>
      <c r="Q165" s="46" t="n">
        <v>2974.3</v>
      </c>
      <c r="R165" s="50" t="n">
        <f aca="false">IF(Q165="","",P165/Q165-1)</f>
        <v>0.0503822748209661</v>
      </c>
      <c r="S165" s="45"/>
    </row>
    <row r="166" customFormat="false" ht="15" hidden="false" customHeight="false" outlineLevel="0" collapsed="false">
      <c r="A166" s="37" t="s">
        <v>114</v>
      </c>
      <c r="B166" s="37" t="n">
        <v>2030</v>
      </c>
      <c r="C166" s="37" t="s">
        <v>151</v>
      </c>
      <c r="D166" s="37" t="s">
        <v>243</v>
      </c>
      <c r="E166" s="37" t="s">
        <v>299</v>
      </c>
      <c r="F166" s="38" t="n">
        <v>3908</v>
      </c>
      <c r="G166" s="37" t="s">
        <v>270</v>
      </c>
      <c r="H166" s="37" t="s">
        <v>271</v>
      </c>
      <c r="I166" s="38" t="n">
        <v>6982.1</v>
      </c>
      <c r="J166" s="39" t="n">
        <v>46.3</v>
      </c>
      <c r="K166" s="39" t="n">
        <v>35.2</v>
      </c>
      <c r="L166" s="40" t="n">
        <v>2.48</v>
      </c>
      <c r="M166" s="41" t="n">
        <v>5</v>
      </c>
      <c r="N166" s="39" t="n">
        <v>25.9</v>
      </c>
      <c r="O166" s="40" t="n">
        <v>5.412</v>
      </c>
      <c r="P166" s="42" t="n">
        <f aca="false">SUM(I166:J166)+SUM(L166:O166)</f>
        <v>7067.192</v>
      </c>
      <c r="Q166" s="42" t="n">
        <v>10019</v>
      </c>
      <c r="R166" s="43" t="n">
        <f aca="false">IF(Q166="","",P166/Q166-1)</f>
        <v>-0.294621020061882</v>
      </c>
      <c r="S166" s="44" t="s">
        <v>272</v>
      </c>
    </row>
    <row r="167" customFormat="false" ht="15" hidden="false" customHeight="false" outlineLevel="0" collapsed="false">
      <c r="A167" s="45" t="s">
        <v>114</v>
      </c>
      <c r="B167" s="45" t="n">
        <v>2030</v>
      </c>
      <c r="C167" s="45" t="s">
        <v>155</v>
      </c>
      <c r="D167" s="45" t="s">
        <v>245</v>
      </c>
      <c r="E167" s="45" t="s">
        <v>299</v>
      </c>
      <c r="F167" s="46" t="n">
        <v>2953</v>
      </c>
      <c r="G167" s="45" t="s">
        <v>273</v>
      </c>
      <c r="H167" s="45" t="s">
        <v>271</v>
      </c>
      <c r="I167" s="46" t="n">
        <v>7523</v>
      </c>
      <c r="J167" s="47" t="n">
        <v>23</v>
      </c>
      <c r="K167" s="47" t="n">
        <v>26.6</v>
      </c>
      <c r="L167" s="48" t="n">
        <v>1.87</v>
      </c>
      <c r="M167" s="49" t="n">
        <v>5</v>
      </c>
      <c r="N167" s="47" t="n">
        <v>25.9</v>
      </c>
      <c r="O167" s="48" t="n">
        <v>5.412</v>
      </c>
      <c r="P167" s="46" t="n">
        <f aca="false">SUM(I167:J167)+SUM(L167:O167)</f>
        <v>7584.182</v>
      </c>
      <c r="Q167" s="46" t="n">
        <v>10019</v>
      </c>
      <c r="R167" s="50" t="n">
        <f aca="false">IF(Q167="","",P167/Q167-1)</f>
        <v>-0.243020061882423</v>
      </c>
      <c r="S167" s="45"/>
    </row>
    <row r="168" customFormat="false" ht="15" hidden="false" customHeight="false" outlineLevel="0" collapsed="false">
      <c r="A168" s="37" t="s">
        <v>114</v>
      </c>
      <c r="B168" s="37" t="n">
        <v>2030</v>
      </c>
      <c r="C168" s="37" t="s">
        <v>146</v>
      </c>
      <c r="D168" s="37" t="s">
        <v>240</v>
      </c>
      <c r="E168" s="37" t="s">
        <v>299</v>
      </c>
      <c r="F168" s="38" t="n">
        <v>1538</v>
      </c>
      <c r="G168" s="37" t="s">
        <v>270</v>
      </c>
      <c r="H168" s="37" t="s">
        <v>271</v>
      </c>
      <c r="I168" s="38" t="n">
        <v>7241.5</v>
      </c>
      <c r="J168" s="39" t="n">
        <v>31.9</v>
      </c>
      <c r="K168" s="39" t="n">
        <v>13.8</v>
      </c>
      <c r="L168" s="40" t="n">
        <v>0.98</v>
      </c>
      <c r="M168" s="41" t="n">
        <v>5</v>
      </c>
      <c r="N168" s="39" t="n">
        <v>25.9</v>
      </c>
      <c r="O168" s="40" t="n">
        <v>5.412</v>
      </c>
      <c r="P168" s="38" t="n">
        <f aca="false">SUM(I168:J168)+SUM(L168:O168)</f>
        <v>7310.692</v>
      </c>
      <c r="Q168" s="38" t="n">
        <v>10019</v>
      </c>
      <c r="R168" s="51" t="n">
        <f aca="false">IF(Q168="","",P168/Q168-1)</f>
        <v>-0.270317197325082</v>
      </c>
      <c r="S168" s="37"/>
    </row>
    <row r="169" customFormat="false" ht="15" hidden="false" customHeight="false" outlineLevel="0" collapsed="false">
      <c r="A169" s="45" t="s">
        <v>114</v>
      </c>
      <c r="B169" s="45" t="n">
        <v>2050</v>
      </c>
      <c r="C169" s="45" t="s">
        <v>151</v>
      </c>
      <c r="D169" s="45" t="s">
        <v>243</v>
      </c>
      <c r="E169" s="45" t="s">
        <v>299</v>
      </c>
      <c r="F169" s="46" t="n">
        <v>3908</v>
      </c>
      <c r="G169" s="45" t="s">
        <v>270</v>
      </c>
      <c r="H169" s="45" t="s">
        <v>274</v>
      </c>
      <c r="I169" s="46" t="n">
        <v>2979.1</v>
      </c>
      <c r="J169" s="47" t="n">
        <v>20.1</v>
      </c>
      <c r="K169" s="47" t="n">
        <v>19.5</v>
      </c>
      <c r="L169" s="48" t="n">
        <v>2.65</v>
      </c>
      <c r="M169" s="49" t="n">
        <v>5</v>
      </c>
      <c r="N169" s="47" t="n">
        <v>25.9</v>
      </c>
      <c r="O169" s="48" t="n">
        <v>5.412</v>
      </c>
      <c r="P169" s="52" t="n">
        <f aca="false">SUM(I169:J169)+SUM(L169:O169)</f>
        <v>3038.162</v>
      </c>
      <c r="Q169" s="52" t="n">
        <v>4263.4</v>
      </c>
      <c r="R169" s="53" t="n">
        <f aca="false">IF(Q169="","",P169/Q169-1)</f>
        <v>-0.287385185532673</v>
      </c>
      <c r="S169" s="54" t="s">
        <v>272</v>
      </c>
    </row>
    <row r="170" customFormat="false" ht="15" hidden="false" customHeight="false" outlineLevel="0" collapsed="false">
      <c r="A170" s="37" t="s">
        <v>114</v>
      </c>
      <c r="B170" s="37" t="n">
        <v>2050</v>
      </c>
      <c r="C170" s="37" t="s">
        <v>155</v>
      </c>
      <c r="D170" s="37" t="s">
        <v>245</v>
      </c>
      <c r="E170" s="37" t="s">
        <v>299</v>
      </c>
      <c r="F170" s="38" t="n">
        <v>2953</v>
      </c>
      <c r="G170" s="37" t="s">
        <v>273</v>
      </c>
      <c r="H170" s="37" t="s">
        <v>274</v>
      </c>
      <c r="I170" s="38" t="n">
        <v>3148</v>
      </c>
      <c r="J170" s="39" t="n">
        <v>10.9</v>
      </c>
      <c r="K170" s="39" t="n">
        <v>14.8</v>
      </c>
      <c r="L170" s="40" t="n">
        <v>2</v>
      </c>
      <c r="M170" s="41" t="n">
        <v>5</v>
      </c>
      <c r="N170" s="39" t="n">
        <v>25.9</v>
      </c>
      <c r="O170" s="40" t="n">
        <v>5.412</v>
      </c>
      <c r="P170" s="38" t="n">
        <f aca="false">SUM(I170:J170)+SUM(L170:O170)</f>
        <v>3197.212</v>
      </c>
      <c r="Q170" s="38" t="n">
        <v>4263.4</v>
      </c>
      <c r="R170" s="51" t="n">
        <f aca="false">IF(Q170="","",P170/Q170-1)</f>
        <v>-0.250079279448328</v>
      </c>
      <c r="S170" s="37"/>
    </row>
    <row r="171" customFormat="false" ht="15" hidden="false" customHeight="false" outlineLevel="0" collapsed="false">
      <c r="A171" s="45" t="s">
        <v>114</v>
      </c>
      <c r="B171" s="45" t="n">
        <v>2050</v>
      </c>
      <c r="C171" s="45" t="s">
        <v>146</v>
      </c>
      <c r="D171" s="45" t="s">
        <v>240</v>
      </c>
      <c r="E171" s="45" t="s">
        <v>299</v>
      </c>
      <c r="F171" s="46" t="n">
        <v>1538</v>
      </c>
      <c r="G171" s="45" t="s">
        <v>270</v>
      </c>
      <c r="H171" s="45" t="s">
        <v>274</v>
      </c>
      <c r="I171" s="46" t="n">
        <v>3083.1</v>
      </c>
      <c r="J171" s="47" t="n">
        <v>13.2</v>
      </c>
      <c r="K171" s="47" t="n">
        <v>7.7</v>
      </c>
      <c r="L171" s="48" t="n">
        <v>1.04</v>
      </c>
      <c r="M171" s="49" t="n">
        <v>5</v>
      </c>
      <c r="N171" s="47" t="n">
        <v>25.9</v>
      </c>
      <c r="O171" s="48" t="n">
        <v>5.412</v>
      </c>
      <c r="P171" s="46" t="n">
        <f aca="false">SUM(I171:J171)+SUM(L171:O171)</f>
        <v>3133.652</v>
      </c>
      <c r="Q171" s="46" t="n">
        <v>4263.4</v>
      </c>
      <c r="R171" s="50" t="n">
        <f aca="false">IF(Q171="","",P171/Q171-1)</f>
        <v>-0.264987568607215</v>
      </c>
      <c r="S171" s="45"/>
    </row>
    <row r="172" customFormat="false" ht="15" hidden="false" customHeight="false" outlineLevel="0" collapsed="false">
      <c r="A172" s="37" t="s">
        <v>130</v>
      </c>
      <c r="B172" s="37" t="n">
        <v>2030</v>
      </c>
      <c r="C172" s="37" t="s">
        <v>151</v>
      </c>
      <c r="D172" s="37" t="s">
        <v>243</v>
      </c>
      <c r="E172" s="37" t="s">
        <v>289</v>
      </c>
      <c r="F172" s="38" t="n">
        <v>4522</v>
      </c>
      <c r="G172" s="37" t="s">
        <v>270</v>
      </c>
      <c r="H172" s="37" t="s">
        <v>271</v>
      </c>
      <c r="I172" s="38" t="n">
        <v>6982.1</v>
      </c>
      <c r="J172" s="39" t="n">
        <v>50</v>
      </c>
      <c r="K172" s="39" t="n">
        <v>40.7</v>
      </c>
      <c r="L172" s="40" t="n">
        <v>2.87</v>
      </c>
      <c r="M172" s="41" t="n">
        <v>5</v>
      </c>
      <c r="N172" s="39" t="n">
        <v>47.1</v>
      </c>
      <c r="O172" s="40" t="n">
        <v>5.412</v>
      </c>
      <c r="P172" s="42" t="n">
        <f aca="false">SUM(I172:J172)+SUM(L172:O172)</f>
        <v>7092.482</v>
      </c>
      <c r="Q172" s="42" t="n">
        <v>35719.8</v>
      </c>
      <c r="R172" s="43" t="n">
        <f aca="false">IF(Q172="","",P172/Q172-1)</f>
        <v>-0.801441161484667</v>
      </c>
      <c r="S172" s="44" t="s">
        <v>272</v>
      </c>
    </row>
    <row r="173" customFormat="false" ht="15" hidden="false" customHeight="false" outlineLevel="0" collapsed="false">
      <c r="A173" s="45" t="s">
        <v>130</v>
      </c>
      <c r="B173" s="45" t="n">
        <v>2030</v>
      </c>
      <c r="C173" s="45" t="s">
        <v>155</v>
      </c>
      <c r="D173" s="45" t="s">
        <v>245</v>
      </c>
      <c r="E173" s="45" t="s">
        <v>289</v>
      </c>
      <c r="F173" s="46" t="n">
        <v>2260</v>
      </c>
      <c r="G173" s="45" t="s">
        <v>273</v>
      </c>
      <c r="H173" s="45" t="s">
        <v>271</v>
      </c>
      <c r="I173" s="46" t="n">
        <v>7523</v>
      </c>
      <c r="J173" s="47" t="n">
        <v>18.8</v>
      </c>
      <c r="K173" s="47" t="n">
        <v>20.3</v>
      </c>
      <c r="L173" s="48" t="n">
        <v>1.43</v>
      </c>
      <c r="M173" s="49" t="n">
        <v>5</v>
      </c>
      <c r="N173" s="47" t="n">
        <v>47.1</v>
      </c>
      <c r="O173" s="48" t="n">
        <v>5.412</v>
      </c>
      <c r="P173" s="46" t="n">
        <f aca="false">SUM(I173:J173)+SUM(L173:O173)</f>
        <v>7600.742</v>
      </c>
      <c r="Q173" s="46" t="n">
        <v>35719.8</v>
      </c>
      <c r="R173" s="50" t="n">
        <f aca="false">IF(Q173="","",P173/Q173-1)</f>
        <v>-0.787212078455087</v>
      </c>
      <c r="S173" s="45"/>
    </row>
    <row r="174" customFormat="false" ht="15" hidden="false" customHeight="false" outlineLevel="0" collapsed="false">
      <c r="A174" s="37" t="s">
        <v>130</v>
      </c>
      <c r="B174" s="37" t="n">
        <v>2030</v>
      </c>
      <c r="C174" s="37" t="s">
        <v>146</v>
      </c>
      <c r="D174" s="37" t="s">
        <v>240</v>
      </c>
      <c r="E174" s="37" t="s">
        <v>289</v>
      </c>
      <c r="F174" s="38" t="n">
        <v>2152</v>
      </c>
      <c r="G174" s="37" t="s">
        <v>270</v>
      </c>
      <c r="H174" s="37" t="s">
        <v>271</v>
      </c>
      <c r="I174" s="38" t="n">
        <v>7241.5</v>
      </c>
      <c r="J174" s="39" t="n">
        <v>35.6</v>
      </c>
      <c r="K174" s="39" t="n">
        <v>19.4</v>
      </c>
      <c r="L174" s="40" t="n">
        <v>1.37</v>
      </c>
      <c r="M174" s="41" t="n">
        <v>5</v>
      </c>
      <c r="N174" s="39" t="n">
        <v>47.1</v>
      </c>
      <c r="O174" s="40" t="n">
        <v>5.412</v>
      </c>
      <c r="P174" s="38" t="n">
        <f aca="false">SUM(I174:J174)+SUM(L174:O174)</f>
        <v>7335.982</v>
      </c>
      <c r="Q174" s="38" t="n">
        <v>35719.8</v>
      </c>
      <c r="R174" s="51" t="n">
        <f aca="false">IF(Q174="","",P174/Q174-1)</f>
        <v>-0.794624214021355</v>
      </c>
      <c r="S174" s="37"/>
    </row>
    <row r="175" customFormat="false" ht="15" hidden="false" customHeight="false" outlineLevel="0" collapsed="false">
      <c r="A175" s="45" t="s">
        <v>130</v>
      </c>
      <c r="B175" s="45" t="n">
        <v>2050</v>
      </c>
      <c r="C175" s="45" t="s">
        <v>151</v>
      </c>
      <c r="D175" s="45" t="s">
        <v>243</v>
      </c>
      <c r="E175" s="45" t="s">
        <v>289</v>
      </c>
      <c r="F175" s="46" t="n">
        <v>4522</v>
      </c>
      <c r="G175" s="45" t="s">
        <v>270</v>
      </c>
      <c r="H175" s="45" t="s">
        <v>274</v>
      </c>
      <c r="I175" s="46" t="n">
        <v>2979.1</v>
      </c>
      <c r="J175" s="47" t="n">
        <v>21.8</v>
      </c>
      <c r="K175" s="47" t="n">
        <v>22.6</v>
      </c>
      <c r="L175" s="48" t="n">
        <v>3.06</v>
      </c>
      <c r="M175" s="49" t="n">
        <v>5</v>
      </c>
      <c r="N175" s="47" t="n">
        <v>47.1</v>
      </c>
      <c r="O175" s="48" t="n">
        <v>5.412</v>
      </c>
      <c r="P175" s="52" t="n">
        <f aca="false">SUM(I175:J175)+SUM(L175:O175)</f>
        <v>3061.472</v>
      </c>
      <c r="Q175" s="52" t="n">
        <v>5353.7</v>
      </c>
      <c r="R175" s="53" t="n">
        <f aca="false">IF(Q175="","",P175/Q175-1)</f>
        <v>-0.428157722696453</v>
      </c>
      <c r="S175" s="54" t="s">
        <v>272</v>
      </c>
    </row>
    <row r="176" customFormat="false" ht="15" hidden="false" customHeight="false" outlineLevel="0" collapsed="false">
      <c r="A176" s="37" t="s">
        <v>130</v>
      </c>
      <c r="B176" s="37" t="n">
        <v>2050</v>
      </c>
      <c r="C176" s="37" t="s">
        <v>155</v>
      </c>
      <c r="D176" s="37" t="s">
        <v>245</v>
      </c>
      <c r="E176" s="37" t="s">
        <v>289</v>
      </c>
      <c r="F176" s="38" t="n">
        <v>2260</v>
      </c>
      <c r="G176" s="37" t="s">
        <v>273</v>
      </c>
      <c r="H176" s="37" t="s">
        <v>274</v>
      </c>
      <c r="I176" s="38" t="n">
        <v>3148</v>
      </c>
      <c r="J176" s="39" t="n">
        <v>8.9</v>
      </c>
      <c r="K176" s="39" t="n">
        <v>11.3</v>
      </c>
      <c r="L176" s="40" t="n">
        <v>1.53</v>
      </c>
      <c r="M176" s="41" t="n">
        <v>5</v>
      </c>
      <c r="N176" s="39" t="n">
        <v>47.1</v>
      </c>
      <c r="O176" s="40" t="n">
        <v>5.412</v>
      </c>
      <c r="P176" s="38" t="n">
        <f aca="false">SUM(I176:J176)+SUM(L176:O176)</f>
        <v>3215.942</v>
      </c>
      <c r="Q176" s="38" t="n">
        <v>5353.7</v>
      </c>
      <c r="R176" s="51" t="n">
        <f aca="false">IF(Q176="","",P176/Q176-1)</f>
        <v>-0.399304779871864</v>
      </c>
      <c r="S176" s="37"/>
    </row>
    <row r="177" customFormat="false" ht="15" hidden="false" customHeight="false" outlineLevel="0" collapsed="false">
      <c r="A177" s="45" t="s">
        <v>130</v>
      </c>
      <c r="B177" s="45" t="n">
        <v>2050</v>
      </c>
      <c r="C177" s="45" t="s">
        <v>146</v>
      </c>
      <c r="D177" s="45" t="s">
        <v>240</v>
      </c>
      <c r="E177" s="45" t="s">
        <v>289</v>
      </c>
      <c r="F177" s="46" t="n">
        <v>2152</v>
      </c>
      <c r="G177" s="45" t="s">
        <v>270</v>
      </c>
      <c r="H177" s="45" t="s">
        <v>274</v>
      </c>
      <c r="I177" s="46" t="n">
        <v>3083.1</v>
      </c>
      <c r="J177" s="47" t="n">
        <v>15</v>
      </c>
      <c r="K177" s="47" t="n">
        <v>10.8</v>
      </c>
      <c r="L177" s="48" t="n">
        <v>1.46</v>
      </c>
      <c r="M177" s="49" t="n">
        <v>5</v>
      </c>
      <c r="N177" s="47" t="n">
        <v>47.1</v>
      </c>
      <c r="O177" s="48" t="n">
        <v>5.412</v>
      </c>
      <c r="P177" s="46" t="n">
        <f aca="false">SUM(I177:J177)+SUM(L177:O177)</f>
        <v>3157.072</v>
      </c>
      <c r="Q177" s="46" t="n">
        <v>5353.7</v>
      </c>
      <c r="R177" s="50" t="n">
        <f aca="false">IF(Q177="","",P177/Q177-1)</f>
        <v>-0.410300913387003</v>
      </c>
      <c r="S177" s="45"/>
    </row>
    <row r="178" customFormat="false" ht="15" hidden="false" customHeight="false" outlineLevel="0" collapsed="false">
      <c r="A178" s="37" t="s">
        <v>142</v>
      </c>
      <c r="B178" s="37" t="n">
        <v>2030</v>
      </c>
      <c r="C178" s="37" t="s">
        <v>151</v>
      </c>
      <c r="D178" s="37" t="s">
        <v>243</v>
      </c>
      <c r="E178" s="37" t="s">
        <v>300</v>
      </c>
      <c r="F178" s="38" t="n">
        <v>4599</v>
      </c>
      <c r="G178" s="37" t="s">
        <v>270</v>
      </c>
      <c r="H178" s="37" t="s">
        <v>271</v>
      </c>
      <c r="I178" s="38" t="n">
        <v>6982.1</v>
      </c>
      <c r="J178" s="39" t="n">
        <v>50.5</v>
      </c>
      <c r="K178" s="39" t="n">
        <v>41.4</v>
      </c>
      <c r="L178" s="40" t="n">
        <v>2.92</v>
      </c>
      <c r="M178" s="41" t="n">
        <v>5</v>
      </c>
      <c r="N178" s="39" t="n">
        <v>11.6</v>
      </c>
      <c r="O178" s="40" t="n">
        <v>5.412</v>
      </c>
      <c r="P178" s="42" t="n">
        <f aca="false">SUM(I178:J178)+SUM(L178:O178)</f>
        <v>7057.532</v>
      </c>
      <c r="Q178" s="42" t="n">
        <v>48225.4</v>
      </c>
      <c r="R178" s="43" t="n">
        <f aca="false">IF(Q178="","",P178/Q178-1)</f>
        <v>-0.853655293683412</v>
      </c>
      <c r="S178" s="44" t="s">
        <v>272</v>
      </c>
    </row>
    <row r="179" customFormat="false" ht="15" hidden="false" customHeight="false" outlineLevel="0" collapsed="false">
      <c r="A179" s="45" t="s">
        <v>142</v>
      </c>
      <c r="B179" s="45" t="n">
        <v>2030</v>
      </c>
      <c r="C179" s="45" t="s">
        <v>155</v>
      </c>
      <c r="D179" s="45" t="s">
        <v>245</v>
      </c>
      <c r="E179" s="45" t="s">
        <v>300</v>
      </c>
      <c r="F179" s="46" t="n">
        <v>2264</v>
      </c>
      <c r="G179" s="45" t="s">
        <v>273</v>
      </c>
      <c r="H179" s="45" t="s">
        <v>271</v>
      </c>
      <c r="I179" s="46" t="n">
        <v>7523</v>
      </c>
      <c r="J179" s="47" t="n">
        <v>18.8</v>
      </c>
      <c r="K179" s="47" t="n">
        <v>20.4</v>
      </c>
      <c r="L179" s="48" t="n">
        <v>1.44</v>
      </c>
      <c r="M179" s="49" t="n">
        <v>5</v>
      </c>
      <c r="N179" s="47" t="n">
        <v>11.6</v>
      </c>
      <c r="O179" s="48" t="n">
        <v>5.412</v>
      </c>
      <c r="P179" s="46" t="n">
        <f aca="false">SUM(I179:J179)+SUM(L179:O179)</f>
        <v>7565.252</v>
      </c>
      <c r="Q179" s="46" t="n">
        <v>48225.4</v>
      </c>
      <c r="R179" s="50" t="n">
        <f aca="false">IF(Q179="","",P179/Q179-1)</f>
        <v>-0.843127231707772</v>
      </c>
      <c r="S179" s="45"/>
    </row>
    <row r="180" customFormat="false" ht="15" hidden="false" customHeight="false" outlineLevel="0" collapsed="false">
      <c r="A180" s="37" t="s">
        <v>142</v>
      </c>
      <c r="B180" s="37" t="n">
        <v>2030</v>
      </c>
      <c r="C180" s="37" t="s">
        <v>146</v>
      </c>
      <c r="D180" s="37" t="s">
        <v>240</v>
      </c>
      <c r="E180" s="37" t="s">
        <v>300</v>
      </c>
      <c r="F180" s="38" t="n">
        <v>2230</v>
      </c>
      <c r="G180" s="37" t="s">
        <v>270</v>
      </c>
      <c r="H180" s="37" t="s">
        <v>271</v>
      </c>
      <c r="I180" s="38" t="n">
        <v>7241.5</v>
      </c>
      <c r="J180" s="39" t="n">
        <v>36.1</v>
      </c>
      <c r="K180" s="39" t="n">
        <v>20.1</v>
      </c>
      <c r="L180" s="40" t="n">
        <v>1.41</v>
      </c>
      <c r="M180" s="41" t="n">
        <v>5</v>
      </c>
      <c r="N180" s="39" t="n">
        <v>11.6</v>
      </c>
      <c r="O180" s="40" t="n">
        <v>5.412</v>
      </c>
      <c r="P180" s="38" t="n">
        <f aca="false">SUM(I180:J180)+SUM(L180:O180)</f>
        <v>7301.022</v>
      </c>
      <c r="Q180" s="38" t="n">
        <v>48225.4</v>
      </c>
      <c r="R180" s="51" t="n">
        <f aca="false">IF(Q180="","",P180/Q180-1)</f>
        <v>-0.848606294608236</v>
      </c>
      <c r="S180" s="37"/>
    </row>
    <row r="181" customFormat="false" ht="15" hidden="false" customHeight="false" outlineLevel="0" collapsed="false">
      <c r="A181" s="45" t="s">
        <v>142</v>
      </c>
      <c r="B181" s="45" t="n">
        <v>2050</v>
      </c>
      <c r="C181" s="45" t="s">
        <v>151</v>
      </c>
      <c r="D181" s="45" t="s">
        <v>243</v>
      </c>
      <c r="E181" s="45" t="s">
        <v>300</v>
      </c>
      <c r="F181" s="46" t="n">
        <v>4599</v>
      </c>
      <c r="G181" s="45" t="s">
        <v>270</v>
      </c>
      <c r="H181" s="45" t="s">
        <v>274</v>
      </c>
      <c r="I181" s="46" t="n">
        <v>2979.1</v>
      </c>
      <c r="J181" s="47" t="n">
        <v>22.1</v>
      </c>
      <c r="K181" s="47" t="n">
        <v>23</v>
      </c>
      <c r="L181" s="48" t="n">
        <v>3.12</v>
      </c>
      <c r="M181" s="49" t="n">
        <v>5</v>
      </c>
      <c r="N181" s="47" t="n">
        <v>11.6</v>
      </c>
      <c r="O181" s="48" t="n">
        <v>5.412</v>
      </c>
      <c r="P181" s="52" t="n">
        <f aca="false">SUM(I181:J181)+SUM(L181:O181)</f>
        <v>3026.332</v>
      </c>
      <c r="Q181" s="52" t="n">
        <v>6394.4</v>
      </c>
      <c r="R181" s="53" t="n">
        <f aca="false">IF(Q181="","",P181/Q181-1)</f>
        <v>-0.526721506318028</v>
      </c>
      <c r="S181" s="54" t="s">
        <v>272</v>
      </c>
    </row>
    <row r="182" customFormat="false" ht="15" hidden="false" customHeight="false" outlineLevel="0" collapsed="false">
      <c r="A182" s="37" t="s">
        <v>142</v>
      </c>
      <c r="B182" s="37" t="n">
        <v>2050</v>
      </c>
      <c r="C182" s="37" t="s">
        <v>155</v>
      </c>
      <c r="D182" s="37" t="s">
        <v>245</v>
      </c>
      <c r="E182" s="37" t="s">
        <v>300</v>
      </c>
      <c r="F182" s="38" t="n">
        <v>2264</v>
      </c>
      <c r="G182" s="37" t="s">
        <v>273</v>
      </c>
      <c r="H182" s="37" t="s">
        <v>274</v>
      </c>
      <c r="I182" s="38" t="n">
        <v>3148</v>
      </c>
      <c r="J182" s="39" t="n">
        <v>8.9</v>
      </c>
      <c r="K182" s="39" t="n">
        <v>11.3</v>
      </c>
      <c r="L182" s="40" t="n">
        <v>1.53</v>
      </c>
      <c r="M182" s="41" t="n">
        <v>5</v>
      </c>
      <c r="N182" s="39" t="n">
        <v>11.6</v>
      </c>
      <c r="O182" s="40" t="n">
        <v>5.412</v>
      </c>
      <c r="P182" s="38" t="n">
        <f aca="false">SUM(I182:J182)+SUM(L182:O182)</f>
        <v>3180.442</v>
      </c>
      <c r="Q182" s="38" t="n">
        <v>6394.4</v>
      </c>
      <c r="R182" s="51" t="n">
        <f aca="false">IF(Q182="","",P182/Q182-1)</f>
        <v>-0.502620730639309</v>
      </c>
      <c r="S182" s="37"/>
    </row>
    <row r="183" customFormat="false" ht="15" hidden="false" customHeight="false" outlineLevel="0" collapsed="false">
      <c r="A183" s="45" t="s">
        <v>142</v>
      </c>
      <c r="B183" s="45" t="n">
        <v>2050</v>
      </c>
      <c r="C183" s="45" t="s">
        <v>146</v>
      </c>
      <c r="D183" s="45" t="s">
        <v>240</v>
      </c>
      <c r="E183" s="45" t="s">
        <v>300</v>
      </c>
      <c r="F183" s="46" t="n">
        <v>2230</v>
      </c>
      <c r="G183" s="45" t="s">
        <v>270</v>
      </c>
      <c r="H183" s="45" t="s">
        <v>274</v>
      </c>
      <c r="I183" s="46" t="n">
        <v>3083.1</v>
      </c>
      <c r="J183" s="47" t="n">
        <v>15.2</v>
      </c>
      <c r="K183" s="47" t="n">
        <v>11.1</v>
      </c>
      <c r="L183" s="48" t="n">
        <v>1.51</v>
      </c>
      <c r="M183" s="49" t="n">
        <v>5</v>
      </c>
      <c r="N183" s="47" t="n">
        <v>11.6</v>
      </c>
      <c r="O183" s="48" t="n">
        <v>5.412</v>
      </c>
      <c r="P183" s="46" t="n">
        <f aca="false">SUM(I183:J183)+SUM(L183:O183)</f>
        <v>3121.822</v>
      </c>
      <c r="Q183" s="46" t="n">
        <v>6394.4</v>
      </c>
      <c r="R183" s="50" t="n">
        <f aca="false">IF(Q183="","",P183/Q183-1)</f>
        <v>-0.511788127111222</v>
      </c>
      <c r="S183" s="45"/>
    </row>
    <row r="184" customFormat="false" ht="15" hidden="false" customHeight="false" outlineLevel="0" collapsed="false">
      <c r="A184" s="37" t="s">
        <v>90</v>
      </c>
      <c r="B184" s="37" t="n">
        <v>2030</v>
      </c>
      <c r="C184" s="37" t="s">
        <v>151</v>
      </c>
      <c r="D184" s="37" t="s">
        <v>243</v>
      </c>
      <c r="E184" s="37" t="s">
        <v>301</v>
      </c>
      <c r="F184" s="38" t="n">
        <v>7413</v>
      </c>
      <c r="G184" s="37" t="s">
        <v>270</v>
      </c>
      <c r="H184" s="37" t="s">
        <v>271</v>
      </c>
      <c r="I184" s="38" t="n">
        <v>6982.1</v>
      </c>
      <c r="J184" s="39" t="n">
        <v>67.5</v>
      </c>
      <c r="K184" s="39" t="n">
        <v>66.7</v>
      </c>
      <c r="L184" s="40" t="n">
        <v>4.7</v>
      </c>
      <c r="M184" s="41" t="n">
        <v>5</v>
      </c>
      <c r="N184" s="39" t="n">
        <v>4.5</v>
      </c>
      <c r="O184" s="40" t="n">
        <v>5.412</v>
      </c>
      <c r="P184" s="42" t="n">
        <f aca="false">SUM(I184:J184)+SUM(L184:O184)</f>
        <v>7069.212</v>
      </c>
      <c r="Q184" s="42" t="n">
        <v>8046.6</v>
      </c>
      <c r="R184" s="43" t="n">
        <f aca="false">IF(Q184="","",P184/Q184-1)</f>
        <v>-0.121465960778465</v>
      </c>
      <c r="S184" s="44" t="s">
        <v>272</v>
      </c>
    </row>
    <row r="185" customFormat="false" ht="15" hidden="false" customHeight="false" outlineLevel="0" collapsed="false">
      <c r="A185" s="45" t="s">
        <v>90</v>
      </c>
      <c r="B185" s="45" t="n">
        <v>2030</v>
      </c>
      <c r="C185" s="45" t="s">
        <v>155</v>
      </c>
      <c r="D185" s="45" t="s">
        <v>245</v>
      </c>
      <c r="E185" s="45" t="s">
        <v>301</v>
      </c>
      <c r="F185" s="46" t="n">
        <v>3104</v>
      </c>
      <c r="G185" s="45" t="s">
        <v>273</v>
      </c>
      <c r="H185" s="45" t="s">
        <v>271</v>
      </c>
      <c r="I185" s="46" t="n">
        <v>7523</v>
      </c>
      <c r="J185" s="47" t="n">
        <v>23.9</v>
      </c>
      <c r="K185" s="47" t="n">
        <v>27.9</v>
      </c>
      <c r="L185" s="48" t="n">
        <v>1.97</v>
      </c>
      <c r="M185" s="49" t="n">
        <v>5</v>
      </c>
      <c r="N185" s="47" t="n">
        <v>4.5</v>
      </c>
      <c r="O185" s="48" t="n">
        <v>5.412</v>
      </c>
      <c r="P185" s="46" t="n">
        <f aca="false">SUM(I185:J185)+SUM(L185:O185)</f>
        <v>7563.782</v>
      </c>
      <c r="Q185" s="46" t="n">
        <v>8046.6</v>
      </c>
      <c r="R185" s="50" t="n">
        <f aca="false">IF(Q185="","",P185/Q185-1)</f>
        <v>-0.060002734074019</v>
      </c>
      <c r="S185" s="45"/>
    </row>
    <row r="186" customFormat="false" ht="15" hidden="false" customHeight="false" outlineLevel="0" collapsed="false">
      <c r="A186" s="37" t="s">
        <v>90</v>
      </c>
      <c r="B186" s="37" t="n">
        <v>2030</v>
      </c>
      <c r="C186" s="37" t="s">
        <v>146</v>
      </c>
      <c r="D186" s="37" t="s">
        <v>240</v>
      </c>
      <c r="E186" s="37" t="s">
        <v>301</v>
      </c>
      <c r="F186" s="38" t="n">
        <v>5043</v>
      </c>
      <c r="G186" s="37" t="s">
        <v>270</v>
      </c>
      <c r="H186" s="37" t="s">
        <v>271</v>
      </c>
      <c r="I186" s="38" t="n">
        <v>7241.5</v>
      </c>
      <c r="J186" s="39" t="n">
        <v>53.2</v>
      </c>
      <c r="K186" s="39" t="n">
        <v>45.4</v>
      </c>
      <c r="L186" s="40" t="n">
        <v>3.2</v>
      </c>
      <c r="M186" s="41" t="n">
        <v>5</v>
      </c>
      <c r="N186" s="39" t="n">
        <v>4.5</v>
      </c>
      <c r="O186" s="40" t="n">
        <v>5.412</v>
      </c>
      <c r="P186" s="38" t="n">
        <f aca="false">SUM(I186:J186)+SUM(L186:O186)</f>
        <v>7312.812</v>
      </c>
      <c r="Q186" s="38" t="n">
        <v>8046.6</v>
      </c>
      <c r="R186" s="51" t="n">
        <f aca="false">IF(Q186="","",P186/Q186-1)</f>
        <v>-0.0911923048243979</v>
      </c>
      <c r="S186" s="37"/>
    </row>
    <row r="187" customFormat="false" ht="15" hidden="false" customHeight="false" outlineLevel="0" collapsed="false">
      <c r="A187" s="45" t="s">
        <v>90</v>
      </c>
      <c r="B187" s="45" t="n">
        <v>2050</v>
      </c>
      <c r="C187" s="45" t="s">
        <v>151</v>
      </c>
      <c r="D187" s="45" t="s">
        <v>243</v>
      </c>
      <c r="E187" s="45" t="s">
        <v>301</v>
      </c>
      <c r="F187" s="46" t="n">
        <v>7413</v>
      </c>
      <c r="G187" s="45" t="s">
        <v>270</v>
      </c>
      <c r="H187" s="45" t="s">
        <v>274</v>
      </c>
      <c r="I187" s="46" t="n">
        <v>2979.1</v>
      </c>
      <c r="J187" s="47" t="n">
        <v>30.2</v>
      </c>
      <c r="K187" s="47" t="n">
        <v>37.1</v>
      </c>
      <c r="L187" s="48" t="n">
        <v>5.02</v>
      </c>
      <c r="M187" s="49" t="n">
        <v>5</v>
      </c>
      <c r="N187" s="47" t="n">
        <v>4.5</v>
      </c>
      <c r="O187" s="48" t="n">
        <v>5.412</v>
      </c>
      <c r="P187" s="52" t="n">
        <f aca="false">SUM(I187:J187)+SUM(L187:O187)</f>
        <v>3029.232</v>
      </c>
      <c r="Q187" s="52" t="n">
        <v>3580.1</v>
      </c>
      <c r="R187" s="53" t="n">
        <f aca="false">IF(Q187="","",P187/Q187-1)</f>
        <v>-0.15386944498757</v>
      </c>
      <c r="S187" s="54" t="s">
        <v>272</v>
      </c>
    </row>
    <row r="188" customFormat="false" ht="15" hidden="false" customHeight="false" outlineLevel="0" collapsed="false">
      <c r="A188" s="37" t="s">
        <v>90</v>
      </c>
      <c r="B188" s="37" t="n">
        <v>2050</v>
      </c>
      <c r="C188" s="37" t="s">
        <v>155</v>
      </c>
      <c r="D188" s="37" t="s">
        <v>245</v>
      </c>
      <c r="E188" s="37" t="s">
        <v>301</v>
      </c>
      <c r="F188" s="38" t="n">
        <v>3104</v>
      </c>
      <c r="G188" s="37" t="s">
        <v>273</v>
      </c>
      <c r="H188" s="37" t="s">
        <v>274</v>
      </c>
      <c r="I188" s="38" t="n">
        <v>3148</v>
      </c>
      <c r="J188" s="39" t="n">
        <v>11.4</v>
      </c>
      <c r="K188" s="39" t="n">
        <v>15.5</v>
      </c>
      <c r="L188" s="40" t="n">
        <v>2.1</v>
      </c>
      <c r="M188" s="41" t="n">
        <v>5</v>
      </c>
      <c r="N188" s="39" t="n">
        <v>4.5</v>
      </c>
      <c r="O188" s="40" t="n">
        <v>5.412</v>
      </c>
      <c r="P188" s="38" t="n">
        <f aca="false">SUM(I188:J188)+SUM(L188:O188)</f>
        <v>3176.412</v>
      </c>
      <c r="Q188" s="38" t="n">
        <v>3580.1</v>
      </c>
      <c r="R188" s="51" t="n">
        <f aca="false">IF(Q188="","",P188/Q188-1)</f>
        <v>-0.112758861484316</v>
      </c>
      <c r="S188" s="37"/>
    </row>
    <row r="189" customFormat="false" ht="15" hidden="false" customHeight="false" outlineLevel="0" collapsed="false">
      <c r="A189" s="45" t="s">
        <v>90</v>
      </c>
      <c r="B189" s="45" t="n">
        <v>2050</v>
      </c>
      <c r="C189" s="45" t="s">
        <v>146</v>
      </c>
      <c r="D189" s="45" t="s">
        <v>240</v>
      </c>
      <c r="E189" s="45" t="s">
        <v>301</v>
      </c>
      <c r="F189" s="46" t="n">
        <v>5043</v>
      </c>
      <c r="G189" s="45" t="s">
        <v>270</v>
      </c>
      <c r="H189" s="45" t="s">
        <v>274</v>
      </c>
      <c r="I189" s="46" t="n">
        <v>3083.1</v>
      </c>
      <c r="J189" s="47" t="n">
        <v>23.4</v>
      </c>
      <c r="K189" s="47" t="n">
        <v>25.2</v>
      </c>
      <c r="L189" s="48" t="n">
        <v>3.42</v>
      </c>
      <c r="M189" s="49" t="n">
        <v>5</v>
      </c>
      <c r="N189" s="47" t="n">
        <v>4.5</v>
      </c>
      <c r="O189" s="48" t="n">
        <v>5.412</v>
      </c>
      <c r="P189" s="46" t="n">
        <f aca="false">SUM(I189:J189)+SUM(L189:O189)</f>
        <v>3124.832</v>
      </c>
      <c r="Q189" s="46" t="n">
        <v>3580.1</v>
      </c>
      <c r="R189" s="50" t="n">
        <f aca="false">IF(Q189="","",P189/Q189-1)</f>
        <v>-0.127166280271501</v>
      </c>
      <c r="S189" s="45"/>
    </row>
    <row r="191" customFormat="false" ht="33" hidden="false" customHeight="true" outlineLevel="0" collapsed="false">
      <c r="A191" s="35" t="s">
        <v>302</v>
      </c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</row>
    <row r="192" customFormat="false" ht="33" hidden="false" customHeight="true" outlineLevel="0" collapsed="false">
      <c r="A192" s="35" t="s">
        <v>303</v>
      </c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</row>
    <row r="193" customFormat="false" ht="24" hidden="false" customHeight="true" outlineLevel="0" collapsed="false">
      <c r="A193" s="35" t="s">
        <v>304</v>
      </c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</row>
    <row r="194" customFormat="false" ht="33" hidden="false" customHeight="true" outlineLevel="0" collapsed="false">
      <c r="A194" s="35" t="s">
        <v>305</v>
      </c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</row>
    <row r="195" customFormat="false" ht="24" hidden="false" customHeight="true" outlineLevel="0" collapsed="false">
      <c r="A195" s="35" t="s">
        <v>306</v>
      </c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</row>
  </sheetData>
  <autoFilter ref="A15:S189"/>
  <mergeCells count="5">
    <mergeCell ref="A191:S191"/>
    <mergeCell ref="A192:S192"/>
    <mergeCell ref="A193:S193"/>
    <mergeCell ref="A194:S194"/>
    <mergeCell ref="A195:S1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7" min="5" style="0" width="9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11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2" min="21" style="0" width="8"/>
    <col collapsed="false" customWidth="true" hidden="false" outlineLevel="0" max="23" min="23" style="0" width="12"/>
    <col collapsed="false" customWidth="true" hidden="false" outlineLevel="0" max="25" min="24" style="0" width="10"/>
    <col collapsed="false" customWidth="true" hidden="false" outlineLevel="0" max="26" min="26" style="0" width="8"/>
  </cols>
  <sheetData>
    <row r="1" customFormat="false" ht="17.35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4" customFormat="false" ht="43.5" hidden="false" customHeight="true" outlineLevel="0" collapsed="false">
      <c r="A4" s="27" t="s">
        <v>4</v>
      </c>
      <c r="B4" s="27" t="s">
        <v>309</v>
      </c>
      <c r="C4" s="27" t="s">
        <v>310</v>
      </c>
      <c r="D4" s="27" t="s">
        <v>311</v>
      </c>
      <c r="E4" s="27" t="s">
        <v>312</v>
      </c>
      <c r="F4" s="27" t="s">
        <v>313</v>
      </c>
      <c r="G4" s="27" t="s">
        <v>314</v>
      </c>
      <c r="H4" s="27" t="s">
        <v>315</v>
      </c>
      <c r="I4" s="27" t="s">
        <v>316</v>
      </c>
      <c r="J4" s="27" t="s">
        <v>317</v>
      </c>
      <c r="K4" s="27" t="s">
        <v>318</v>
      </c>
      <c r="L4" s="27" t="s">
        <v>319</v>
      </c>
      <c r="M4" s="27" t="s">
        <v>320</v>
      </c>
      <c r="N4" s="27" t="s">
        <v>321</v>
      </c>
      <c r="O4" s="27" t="s">
        <v>322</v>
      </c>
      <c r="P4" s="27" t="s">
        <v>323</v>
      </c>
      <c r="Q4" s="27" t="s">
        <v>324</v>
      </c>
      <c r="R4" s="27" t="s">
        <v>325</v>
      </c>
      <c r="S4" s="27" t="s">
        <v>326</v>
      </c>
      <c r="T4" s="27" t="s">
        <v>327</v>
      </c>
      <c r="U4" s="27" t="s">
        <v>264</v>
      </c>
      <c r="V4" s="27" t="s">
        <v>328</v>
      </c>
      <c r="W4" s="27" t="s">
        <v>329</v>
      </c>
      <c r="X4" s="27" t="s">
        <v>330</v>
      </c>
      <c r="Y4" s="27" t="s">
        <v>331</v>
      </c>
      <c r="Z4" s="27" t="s">
        <v>332</v>
      </c>
    </row>
    <row r="5" customFormat="false" ht="15" hidden="false" customHeight="false" outlineLevel="0" collapsed="false">
      <c r="A5" s="37" t="s">
        <v>63</v>
      </c>
      <c r="B5" s="37" t="s">
        <v>333</v>
      </c>
      <c r="C5" s="39" t="n">
        <v>740</v>
      </c>
      <c r="D5" s="37" t="s">
        <v>334</v>
      </c>
      <c r="E5" s="37" t="s">
        <v>335</v>
      </c>
      <c r="F5" s="38" t="n">
        <v>1727</v>
      </c>
      <c r="G5" s="38" t="n">
        <v>310.64</v>
      </c>
      <c r="H5" s="38" t="n">
        <v>24.61</v>
      </c>
      <c r="I5" s="38" t="n">
        <v>0</v>
      </c>
      <c r="J5" s="38" t="n">
        <v>0.81</v>
      </c>
      <c r="K5" s="38" t="n">
        <v>0</v>
      </c>
      <c r="L5" s="38" t="n">
        <v>1263.38</v>
      </c>
      <c r="M5" s="38" t="n">
        <v>0</v>
      </c>
      <c r="N5" s="38" t="n">
        <v>499.6</v>
      </c>
      <c r="O5" s="38" t="n">
        <v>0</v>
      </c>
      <c r="P5" s="38" t="n">
        <v>55.96</v>
      </c>
      <c r="Q5" s="38" t="n">
        <v>139.36</v>
      </c>
      <c r="R5" s="38" t="n">
        <v>91.89</v>
      </c>
      <c r="S5" s="38" t="n">
        <v>817.33</v>
      </c>
      <c r="T5" s="38" t="n">
        <v>13.58</v>
      </c>
      <c r="U5" s="55" t="n">
        <v>5.41</v>
      </c>
      <c r="V5" s="38" t="n">
        <v>45.02</v>
      </c>
      <c r="W5" s="38" t="n">
        <v>64.01</v>
      </c>
      <c r="X5" s="38" t="n">
        <v>4994.6</v>
      </c>
      <c r="Y5" s="38" t="n">
        <v>4994.6</v>
      </c>
      <c r="Z5" s="55" t="n">
        <v>0</v>
      </c>
    </row>
    <row r="6" customFormat="false" ht="15" hidden="false" customHeight="false" outlineLevel="0" collapsed="false">
      <c r="A6" s="45" t="s">
        <v>46</v>
      </c>
      <c r="B6" s="45" t="s">
        <v>333</v>
      </c>
      <c r="C6" s="47" t="n">
        <v>740</v>
      </c>
      <c r="D6" s="45" t="s">
        <v>30</v>
      </c>
      <c r="E6" s="45" t="s">
        <v>335</v>
      </c>
      <c r="F6" s="46" t="n">
        <v>1791.21</v>
      </c>
      <c r="G6" s="46" t="n">
        <v>287.24</v>
      </c>
      <c r="H6" s="46" t="n">
        <v>23.73</v>
      </c>
      <c r="I6" s="46" t="n">
        <v>96.03</v>
      </c>
      <c r="J6" s="46" t="n">
        <v>0</v>
      </c>
      <c r="K6" s="46" t="n">
        <v>0</v>
      </c>
      <c r="L6" s="46" t="n">
        <v>1193.36</v>
      </c>
      <c r="M6" s="46" t="n">
        <v>549.34</v>
      </c>
      <c r="N6" s="46" t="n">
        <v>471.6</v>
      </c>
      <c r="O6" s="46" t="n">
        <v>0</v>
      </c>
      <c r="P6" s="46" t="n">
        <v>53.18</v>
      </c>
      <c r="Q6" s="46" t="n">
        <v>70.3</v>
      </c>
      <c r="R6" s="46" t="n">
        <v>91.89</v>
      </c>
      <c r="S6" s="46" t="n">
        <v>308.87</v>
      </c>
      <c r="T6" s="46" t="n">
        <v>19.93</v>
      </c>
      <c r="U6" s="56" t="n">
        <v>5.41</v>
      </c>
      <c r="V6" s="46" t="n">
        <v>35.76</v>
      </c>
      <c r="W6" s="46" t="n">
        <v>61.1</v>
      </c>
      <c r="X6" s="46" t="n">
        <v>4997.86</v>
      </c>
      <c r="Y6" s="46" t="n">
        <v>4997.86</v>
      </c>
      <c r="Z6" s="56" t="n">
        <v>0</v>
      </c>
    </row>
    <row r="7" customFormat="false" ht="15" hidden="false" customHeight="false" outlineLevel="0" collapsed="false">
      <c r="A7" s="37" t="s">
        <v>43</v>
      </c>
      <c r="B7" s="37" t="s">
        <v>333</v>
      </c>
      <c r="C7" s="39" t="n">
        <v>740</v>
      </c>
      <c r="D7" s="37" t="s">
        <v>30</v>
      </c>
      <c r="E7" s="37" t="s">
        <v>335</v>
      </c>
      <c r="F7" s="38" t="n">
        <v>1955.04</v>
      </c>
      <c r="G7" s="38" t="n">
        <v>350.61</v>
      </c>
      <c r="H7" s="38" t="n">
        <v>23.27</v>
      </c>
      <c r="I7" s="38" t="n">
        <v>76.58</v>
      </c>
      <c r="J7" s="38" t="n">
        <v>0</v>
      </c>
      <c r="K7" s="38" t="n">
        <v>0</v>
      </c>
      <c r="L7" s="38" t="n">
        <v>1193.36</v>
      </c>
      <c r="M7" s="38" t="n">
        <v>0</v>
      </c>
      <c r="N7" s="38" t="n">
        <v>471.6</v>
      </c>
      <c r="O7" s="38" t="n">
        <v>0</v>
      </c>
      <c r="P7" s="38" t="n">
        <v>53.18</v>
      </c>
      <c r="Q7" s="38" t="n">
        <v>70.3</v>
      </c>
      <c r="R7" s="38" t="n">
        <v>91.89</v>
      </c>
      <c r="S7" s="38" t="n">
        <v>776.43</v>
      </c>
      <c r="T7" s="38" t="n">
        <v>23.45</v>
      </c>
      <c r="U7" s="55" t="n">
        <v>5.41</v>
      </c>
      <c r="V7" s="38" t="n">
        <v>45.02</v>
      </c>
      <c r="W7" s="38" t="n">
        <v>73.88</v>
      </c>
      <c r="X7" s="38" t="n">
        <v>5136.15</v>
      </c>
      <c r="Y7" s="38" t="n">
        <v>5136.15</v>
      </c>
      <c r="Z7" s="55" t="n">
        <v>0</v>
      </c>
    </row>
    <row r="8" customFormat="false" ht="15" hidden="false" customHeight="false" outlineLevel="0" collapsed="false">
      <c r="A8" s="45" t="s">
        <v>35</v>
      </c>
      <c r="B8" s="45" t="s">
        <v>333</v>
      </c>
      <c r="C8" s="47" t="n">
        <v>740</v>
      </c>
      <c r="D8" s="45" t="s">
        <v>30</v>
      </c>
      <c r="E8" s="45" t="s">
        <v>335</v>
      </c>
      <c r="F8" s="46" t="n">
        <v>1845.58</v>
      </c>
      <c r="G8" s="46" t="n">
        <v>368.81</v>
      </c>
      <c r="H8" s="46" t="n">
        <v>23.61</v>
      </c>
      <c r="I8" s="46" t="n">
        <v>67.19</v>
      </c>
      <c r="J8" s="46" t="n">
        <v>0</v>
      </c>
      <c r="K8" s="46" t="n">
        <v>0</v>
      </c>
      <c r="L8" s="46" t="n">
        <v>1193.36</v>
      </c>
      <c r="M8" s="46" t="n">
        <v>404.02</v>
      </c>
      <c r="N8" s="46" t="n">
        <v>471.6</v>
      </c>
      <c r="O8" s="46" t="n">
        <v>0</v>
      </c>
      <c r="P8" s="46" t="n">
        <v>53.18</v>
      </c>
      <c r="Q8" s="46" t="n">
        <v>70.3</v>
      </c>
      <c r="R8" s="46" t="n">
        <v>91.89</v>
      </c>
      <c r="S8" s="46" t="n">
        <v>496.1</v>
      </c>
      <c r="T8" s="46" t="n">
        <v>25.42</v>
      </c>
      <c r="U8" s="56" t="n">
        <v>5.41</v>
      </c>
      <c r="V8" s="46" t="n">
        <v>38.21</v>
      </c>
      <c r="W8" s="46" t="n">
        <v>69.04</v>
      </c>
      <c r="X8" s="46" t="n">
        <v>5154.67</v>
      </c>
      <c r="Y8" s="46" t="n">
        <v>5154.67</v>
      </c>
      <c r="Z8" s="56" t="n">
        <v>0</v>
      </c>
    </row>
    <row r="9" customFormat="false" ht="15" hidden="false" customHeight="false" outlineLevel="0" collapsed="false">
      <c r="A9" s="37" t="s">
        <v>75</v>
      </c>
      <c r="B9" s="37" t="s">
        <v>333</v>
      </c>
      <c r="C9" s="39" t="n">
        <v>740</v>
      </c>
      <c r="D9" s="37" t="s">
        <v>30</v>
      </c>
      <c r="E9" s="37" t="s">
        <v>335</v>
      </c>
      <c r="F9" s="38" t="n">
        <v>1844.37</v>
      </c>
      <c r="G9" s="38" t="n">
        <v>337.41</v>
      </c>
      <c r="H9" s="38" t="n">
        <v>25.1</v>
      </c>
      <c r="I9" s="38" t="n">
        <v>106.5</v>
      </c>
      <c r="J9" s="38" t="n">
        <v>0</v>
      </c>
      <c r="K9" s="38" t="n">
        <v>0</v>
      </c>
      <c r="L9" s="38" t="n">
        <v>1285.43</v>
      </c>
      <c r="M9" s="38" t="n">
        <v>0</v>
      </c>
      <c r="N9" s="38" t="n">
        <v>515.26</v>
      </c>
      <c r="O9" s="38" t="n">
        <v>0</v>
      </c>
      <c r="P9" s="38" t="n">
        <v>58.1</v>
      </c>
      <c r="Q9" s="38" t="n">
        <v>76.8</v>
      </c>
      <c r="R9" s="38" t="n">
        <v>91.89</v>
      </c>
      <c r="S9" s="38" t="n">
        <v>760.86</v>
      </c>
      <c r="T9" s="38" t="n">
        <v>23.34</v>
      </c>
      <c r="U9" s="55" t="n">
        <v>5.41</v>
      </c>
      <c r="V9" s="38" t="n">
        <v>45.02</v>
      </c>
      <c r="W9" s="38" t="n">
        <v>73.77</v>
      </c>
      <c r="X9" s="38" t="n">
        <v>5175.5</v>
      </c>
      <c r="Y9" s="38" t="n">
        <v>5175.5</v>
      </c>
      <c r="Z9" s="55" t="n">
        <v>0</v>
      </c>
    </row>
    <row r="10" customFormat="false" ht="15" hidden="false" customHeight="false" outlineLevel="0" collapsed="false">
      <c r="A10" s="45" t="s">
        <v>26</v>
      </c>
      <c r="B10" s="45" t="s">
        <v>333</v>
      </c>
      <c r="C10" s="47" t="n">
        <v>740</v>
      </c>
      <c r="D10" s="45" t="s">
        <v>30</v>
      </c>
      <c r="E10" s="45" t="s">
        <v>335</v>
      </c>
      <c r="F10" s="46" t="n">
        <v>1425.06</v>
      </c>
      <c r="G10" s="46" t="n">
        <v>533.68</v>
      </c>
      <c r="H10" s="46" t="n">
        <v>25.62</v>
      </c>
      <c r="I10" s="46" t="n">
        <v>145.73</v>
      </c>
      <c r="J10" s="46" t="n">
        <v>0</v>
      </c>
      <c r="K10" s="46" t="n">
        <v>0</v>
      </c>
      <c r="L10" s="46" t="n">
        <v>1271.93</v>
      </c>
      <c r="M10" s="46" t="n">
        <v>798.09</v>
      </c>
      <c r="N10" s="46" t="n">
        <v>508.87</v>
      </c>
      <c r="O10" s="46" t="n">
        <v>3.35</v>
      </c>
      <c r="P10" s="46" t="n">
        <v>57.38</v>
      </c>
      <c r="Q10" s="46" t="n">
        <v>75.85</v>
      </c>
      <c r="R10" s="46" t="n">
        <v>91.89</v>
      </c>
      <c r="S10" s="46" t="n">
        <v>205.59</v>
      </c>
      <c r="T10" s="46" t="n">
        <v>29.35</v>
      </c>
      <c r="U10" s="56" t="n">
        <v>5.41</v>
      </c>
      <c r="V10" s="46" t="n">
        <v>32.56</v>
      </c>
      <c r="W10" s="46" t="n">
        <v>67.32</v>
      </c>
      <c r="X10" s="46" t="n">
        <v>5210.36</v>
      </c>
      <c r="Y10" s="46" t="n">
        <v>5210.36</v>
      </c>
      <c r="Z10" s="56" t="n">
        <v>0</v>
      </c>
    </row>
    <row r="11" customFormat="false" ht="15" hidden="false" customHeight="false" outlineLevel="0" collapsed="false">
      <c r="A11" s="37" t="s">
        <v>39</v>
      </c>
      <c r="B11" s="37" t="s">
        <v>333</v>
      </c>
      <c r="C11" s="39" t="n">
        <v>740</v>
      </c>
      <c r="D11" s="37" t="s">
        <v>30</v>
      </c>
      <c r="E11" s="37" t="s">
        <v>335</v>
      </c>
      <c r="F11" s="38" t="n">
        <v>1465.57</v>
      </c>
      <c r="G11" s="38" t="n">
        <v>548.85</v>
      </c>
      <c r="H11" s="38" t="n">
        <v>28.88</v>
      </c>
      <c r="I11" s="38" t="n">
        <v>141.17</v>
      </c>
      <c r="J11" s="38" t="n">
        <v>0</v>
      </c>
      <c r="K11" s="38" t="n">
        <v>0</v>
      </c>
      <c r="L11" s="38" t="n">
        <v>1271.93</v>
      </c>
      <c r="M11" s="38" t="n">
        <v>886.44</v>
      </c>
      <c r="N11" s="38" t="n">
        <v>508.87</v>
      </c>
      <c r="O11" s="38" t="n">
        <v>7.94</v>
      </c>
      <c r="P11" s="38" t="n">
        <v>57.38</v>
      </c>
      <c r="Q11" s="38" t="n">
        <v>75.85</v>
      </c>
      <c r="R11" s="38" t="n">
        <v>91.89</v>
      </c>
      <c r="S11" s="38" t="n">
        <v>120.26</v>
      </c>
      <c r="T11" s="38" t="n">
        <v>10.83</v>
      </c>
      <c r="U11" s="55" t="n">
        <v>5.41</v>
      </c>
      <c r="V11" s="38" t="n">
        <v>31.18</v>
      </c>
      <c r="W11" s="38" t="n">
        <v>47.42</v>
      </c>
      <c r="X11" s="38" t="n">
        <v>5252.46</v>
      </c>
      <c r="Y11" s="38" t="n">
        <v>5252.46</v>
      </c>
      <c r="Z11" s="55" t="n">
        <v>0</v>
      </c>
    </row>
    <row r="12" customFormat="false" ht="15" hidden="false" customHeight="false" outlineLevel="0" collapsed="false">
      <c r="A12" s="45" t="s">
        <v>50</v>
      </c>
      <c r="B12" s="45" t="s">
        <v>333</v>
      </c>
      <c r="C12" s="47" t="n">
        <v>740</v>
      </c>
      <c r="D12" s="45" t="s">
        <v>334</v>
      </c>
      <c r="E12" s="45" t="s">
        <v>335</v>
      </c>
      <c r="F12" s="46" t="n">
        <v>1390.2</v>
      </c>
      <c r="G12" s="46" t="n">
        <v>703.65</v>
      </c>
      <c r="H12" s="46" t="n">
        <v>27.03</v>
      </c>
      <c r="I12" s="46" t="n">
        <v>0</v>
      </c>
      <c r="J12" s="46" t="n">
        <v>1.85</v>
      </c>
      <c r="K12" s="46" t="n">
        <v>0</v>
      </c>
      <c r="L12" s="46" t="n">
        <v>1370.53</v>
      </c>
      <c r="M12" s="46" t="n">
        <v>234.47</v>
      </c>
      <c r="N12" s="46" t="n">
        <v>545.13</v>
      </c>
      <c r="O12" s="46" t="n">
        <v>0</v>
      </c>
      <c r="P12" s="46" t="n">
        <v>60.66</v>
      </c>
      <c r="Q12" s="46" t="n">
        <v>143.67</v>
      </c>
      <c r="R12" s="46" t="n">
        <v>91.89</v>
      </c>
      <c r="S12" s="46" t="n">
        <v>664.98</v>
      </c>
      <c r="T12" s="46" t="n">
        <v>27.07</v>
      </c>
      <c r="U12" s="56" t="n">
        <v>5.41</v>
      </c>
      <c r="V12" s="46" t="n">
        <v>41.61</v>
      </c>
      <c r="W12" s="46" t="n">
        <v>74.09</v>
      </c>
      <c r="X12" s="46" t="n">
        <v>5308.17</v>
      </c>
      <c r="Y12" s="46" t="n">
        <v>5308.17</v>
      </c>
      <c r="Z12" s="56" t="n">
        <v>0</v>
      </c>
    </row>
    <row r="13" customFormat="false" ht="15" hidden="false" customHeight="false" outlineLevel="0" collapsed="false">
      <c r="A13" s="37" t="s">
        <v>90</v>
      </c>
      <c r="B13" s="37" t="s">
        <v>333</v>
      </c>
      <c r="C13" s="39" t="n">
        <v>740</v>
      </c>
      <c r="D13" s="37" t="s">
        <v>334</v>
      </c>
      <c r="E13" s="37" t="s">
        <v>335</v>
      </c>
      <c r="F13" s="38" t="n">
        <v>1872.42</v>
      </c>
      <c r="G13" s="38" t="n">
        <v>343.89</v>
      </c>
      <c r="H13" s="38" t="n">
        <v>26.7</v>
      </c>
      <c r="I13" s="38" t="n">
        <v>0</v>
      </c>
      <c r="J13" s="38" t="n">
        <v>0.95</v>
      </c>
      <c r="K13" s="38" t="n">
        <v>0</v>
      </c>
      <c r="L13" s="38" t="n">
        <v>1367.84</v>
      </c>
      <c r="M13" s="38" t="n">
        <v>0</v>
      </c>
      <c r="N13" s="38" t="n">
        <v>549.05</v>
      </c>
      <c r="O13" s="38" t="n">
        <v>0</v>
      </c>
      <c r="P13" s="38" t="n">
        <v>61.49</v>
      </c>
      <c r="Q13" s="38" t="n">
        <v>153.15</v>
      </c>
      <c r="R13" s="38" t="n">
        <v>91.89</v>
      </c>
      <c r="S13" s="38" t="n">
        <v>796.89</v>
      </c>
      <c r="T13" s="38" t="n">
        <v>27.56</v>
      </c>
      <c r="U13" s="55" t="n">
        <v>5.41</v>
      </c>
      <c r="V13" s="38" t="n">
        <v>45.02</v>
      </c>
      <c r="W13" s="38" t="n">
        <v>77.99</v>
      </c>
      <c r="X13" s="38" t="n">
        <v>5342.28</v>
      </c>
      <c r="Y13" s="38" t="n">
        <v>5342.28</v>
      </c>
      <c r="Z13" s="55" t="n">
        <v>0</v>
      </c>
    </row>
    <row r="14" customFormat="false" ht="15" hidden="false" customHeight="false" outlineLevel="0" collapsed="false">
      <c r="A14" s="45" t="s">
        <v>79</v>
      </c>
      <c r="B14" s="45" t="s">
        <v>333</v>
      </c>
      <c r="C14" s="47" t="n">
        <v>740</v>
      </c>
      <c r="D14" s="45" t="s">
        <v>30</v>
      </c>
      <c r="E14" s="45" t="s">
        <v>335</v>
      </c>
      <c r="F14" s="46" t="n">
        <v>2015.08</v>
      </c>
      <c r="G14" s="46" t="n">
        <v>326</v>
      </c>
      <c r="H14" s="46" t="n">
        <v>24.71</v>
      </c>
      <c r="I14" s="46" t="n">
        <v>99</v>
      </c>
      <c r="J14" s="46" t="n">
        <v>0</v>
      </c>
      <c r="K14" s="46" t="n">
        <v>0</v>
      </c>
      <c r="L14" s="46" t="n">
        <v>1232.11</v>
      </c>
      <c r="M14" s="46" t="n">
        <v>732.38</v>
      </c>
      <c r="N14" s="46" t="n">
        <v>489.99</v>
      </c>
      <c r="O14" s="46" t="n">
        <v>1.35</v>
      </c>
      <c r="P14" s="46" t="n">
        <v>55.25</v>
      </c>
      <c r="Q14" s="46" t="n">
        <v>73.04</v>
      </c>
      <c r="R14" s="46" t="n">
        <v>91.89</v>
      </c>
      <c r="S14" s="46" t="n">
        <v>235.66</v>
      </c>
      <c r="T14" s="46" t="n">
        <v>25.85</v>
      </c>
      <c r="U14" s="56" t="n">
        <v>5.41</v>
      </c>
      <c r="V14" s="46" t="n">
        <v>33.14</v>
      </c>
      <c r="W14" s="46" t="n">
        <v>64.4</v>
      </c>
      <c r="X14" s="46" t="n">
        <v>5440.88</v>
      </c>
      <c r="Y14" s="46" t="n">
        <v>5440.88</v>
      </c>
      <c r="Z14" s="56" t="n">
        <v>0</v>
      </c>
    </row>
    <row r="15" customFormat="false" ht="15" hidden="false" customHeight="false" outlineLevel="0" collapsed="false">
      <c r="A15" s="37" t="s">
        <v>55</v>
      </c>
      <c r="B15" s="37" t="s">
        <v>333</v>
      </c>
      <c r="C15" s="39" t="n">
        <v>740</v>
      </c>
      <c r="D15" s="37" t="s">
        <v>30</v>
      </c>
      <c r="E15" s="37" t="s">
        <v>335</v>
      </c>
      <c r="F15" s="38" t="n">
        <v>1957.56</v>
      </c>
      <c r="G15" s="38" t="n">
        <v>391.77</v>
      </c>
      <c r="H15" s="38" t="n">
        <v>27.81</v>
      </c>
      <c r="I15" s="38" t="n">
        <v>150.91</v>
      </c>
      <c r="J15" s="38" t="n">
        <v>0</v>
      </c>
      <c r="K15" s="38" t="n">
        <v>0</v>
      </c>
      <c r="L15" s="38" t="n">
        <v>1199.74</v>
      </c>
      <c r="M15" s="38" t="n">
        <v>837.29</v>
      </c>
      <c r="N15" s="38" t="n">
        <v>474.63</v>
      </c>
      <c r="O15" s="38" t="n">
        <v>7.95</v>
      </c>
      <c r="P15" s="38" t="n">
        <v>53.52</v>
      </c>
      <c r="Q15" s="38" t="n">
        <v>140.51</v>
      </c>
      <c r="R15" s="38" t="n">
        <v>91.89</v>
      </c>
      <c r="S15" s="38" t="n">
        <v>106.8</v>
      </c>
      <c r="T15" s="38" t="n">
        <v>15.11</v>
      </c>
      <c r="U15" s="55" t="n">
        <v>5.41</v>
      </c>
      <c r="V15" s="38" t="n">
        <v>31</v>
      </c>
      <c r="W15" s="38" t="n">
        <v>51.52</v>
      </c>
      <c r="X15" s="38" t="n">
        <v>5491.91</v>
      </c>
      <c r="Y15" s="38" t="n">
        <v>5491.91</v>
      </c>
      <c r="Z15" s="55" t="n">
        <v>0</v>
      </c>
    </row>
    <row r="16" customFormat="false" ht="15" hidden="false" customHeight="false" outlineLevel="0" collapsed="false">
      <c r="A16" s="45" t="s">
        <v>71</v>
      </c>
      <c r="B16" s="45" t="s">
        <v>333</v>
      </c>
      <c r="C16" s="47" t="n">
        <v>740</v>
      </c>
      <c r="D16" s="45" t="s">
        <v>30</v>
      </c>
      <c r="E16" s="45" t="s">
        <v>335</v>
      </c>
      <c r="F16" s="46" t="n">
        <v>2026.55</v>
      </c>
      <c r="G16" s="46" t="n">
        <v>449.97</v>
      </c>
      <c r="H16" s="46" t="n">
        <v>27.51</v>
      </c>
      <c r="I16" s="46" t="n">
        <v>141.39</v>
      </c>
      <c r="J16" s="46" t="n">
        <v>0</v>
      </c>
      <c r="K16" s="46" t="n">
        <v>0</v>
      </c>
      <c r="L16" s="46" t="n">
        <v>1193.36</v>
      </c>
      <c r="M16" s="46" t="n">
        <v>829.34</v>
      </c>
      <c r="N16" s="46" t="n">
        <v>471.6</v>
      </c>
      <c r="O16" s="46" t="n">
        <v>7.76</v>
      </c>
      <c r="P16" s="46" t="n">
        <v>53.18</v>
      </c>
      <c r="Q16" s="46" t="n">
        <v>139.62</v>
      </c>
      <c r="R16" s="46" t="n">
        <v>91.89</v>
      </c>
      <c r="S16" s="46" t="n">
        <v>106.21</v>
      </c>
      <c r="T16" s="46" t="n">
        <v>10.6</v>
      </c>
      <c r="U16" s="56" t="n">
        <v>5.41</v>
      </c>
      <c r="V16" s="46" t="n">
        <v>31.04</v>
      </c>
      <c r="W16" s="46" t="n">
        <v>47.05</v>
      </c>
      <c r="X16" s="46" t="n">
        <v>5585.44</v>
      </c>
      <c r="Y16" s="46" t="n">
        <v>5585.44</v>
      </c>
      <c r="Z16" s="56" t="n">
        <v>0</v>
      </c>
    </row>
    <row r="17" customFormat="false" ht="15" hidden="false" customHeight="false" outlineLevel="0" collapsed="false">
      <c r="A17" s="37" t="s">
        <v>67</v>
      </c>
      <c r="B17" s="37" t="s">
        <v>333</v>
      </c>
      <c r="C17" s="39" t="n">
        <v>740</v>
      </c>
      <c r="D17" s="37" t="s">
        <v>30</v>
      </c>
      <c r="E17" s="37" t="s">
        <v>335</v>
      </c>
      <c r="F17" s="38" t="n">
        <v>2159.7</v>
      </c>
      <c r="G17" s="38" t="n">
        <v>392.95</v>
      </c>
      <c r="H17" s="38" t="n">
        <v>25.07</v>
      </c>
      <c r="I17" s="38" t="n">
        <v>88.85</v>
      </c>
      <c r="J17" s="38" t="n">
        <v>0</v>
      </c>
      <c r="K17" s="38" t="n">
        <v>0</v>
      </c>
      <c r="L17" s="38" t="n">
        <v>1258.54</v>
      </c>
      <c r="M17" s="38" t="n">
        <v>599.23</v>
      </c>
      <c r="N17" s="38" t="n">
        <v>502.52</v>
      </c>
      <c r="O17" s="38" t="n">
        <v>0</v>
      </c>
      <c r="P17" s="38" t="n">
        <v>56.67</v>
      </c>
      <c r="Q17" s="38" t="n">
        <v>74.91</v>
      </c>
      <c r="R17" s="38" t="n">
        <v>91.89</v>
      </c>
      <c r="S17" s="38" t="n">
        <v>302.55</v>
      </c>
      <c r="T17" s="38" t="n">
        <v>13.18</v>
      </c>
      <c r="U17" s="55" t="n">
        <v>5.41</v>
      </c>
      <c r="V17" s="38" t="n">
        <v>35.54</v>
      </c>
      <c r="W17" s="38" t="n">
        <v>54.13</v>
      </c>
      <c r="X17" s="38" t="n">
        <v>5607.01</v>
      </c>
      <c r="Y17" s="38" t="n">
        <v>5607.01</v>
      </c>
      <c r="Z17" s="55" t="n">
        <v>0</v>
      </c>
    </row>
    <row r="18" customFormat="false" ht="15" hidden="false" customHeight="false" outlineLevel="0" collapsed="false">
      <c r="A18" s="45" t="s">
        <v>98</v>
      </c>
      <c r="B18" s="45" t="s">
        <v>333</v>
      </c>
      <c r="C18" s="47" t="n">
        <v>740</v>
      </c>
      <c r="D18" s="45" t="s">
        <v>334</v>
      </c>
      <c r="E18" s="45" t="s">
        <v>320</v>
      </c>
      <c r="F18" s="46" t="n">
        <v>1349.31</v>
      </c>
      <c r="G18" s="46" t="n">
        <v>693</v>
      </c>
      <c r="H18" s="46" t="n">
        <v>44</v>
      </c>
      <c r="I18" s="46" t="n">
        <v>0</v>
      </c>
      <c r="J18" s="46" t="n">
        <v>2.11</v>
      </c>
      <c r="K18" s="46" t="n">
        <v>0</v>
      </c>
      <c r="L18" s="46" t="n">
        <v>1452.31</v>
      </c>
      <c r="M18" s="46" t="n">
        <v>1213.02</v>
      </c>
      <c r="N18" s="46" t="n">
        <v>583.76</v>
      </c>
      <c r="O18" s="46" t="n">
        <v>18.7</v>
      </c>
      <c r="P18" s="46" t="n">
        <v>64.96</v>
      </c>
      <c r="Q18" s="46" t="n">
        <v>153.85</v>
      </c>
      <c r="R18" s="46" t="n">
        <v>91.89</v>
      </c>
      <c r="S18" s="46" t="n">
        <v>0</v>
      </c>
      <c r="T18" s="46" t="n">
        <v>9.55</v>
      </c>
      <c r="U18" s="56" t="n">
        <v>5.41</v>
      </c>
      <c r="V18" s="46" t="n">
        <v>28.55</v>
      </c>
      <c r="W18" s="46" t="n">
        <v>43.51</v>
      </c>
      <c r="X18" s="46" t="n">
        <v>5710.43</v>
      </c>
      <c r="Y18" s="46" t="n">
        <v>5710.43</v>
      </c>
      <c r="Z18" s="56" t="n">
        <v>0</v>
      </c>
    </row>
    <row r="19" customFormat="false" ht="15" hidden="false" customHeight="false" outlineLevel="0" collapsed="false">
      <c r="A19" s="37" t="s">
        <v>59</v>
      </c>
      <c r="B19" s="37" t="s">
        <v>333</v>
      </c>
      <c r="C19" s="39" t="n">
        <v>740</v>
      </c>
      <c r="D19" s="37" t="s">
        <v>30</v>
      </c>
      <c r="E19" s="37" t="s">
        <v>320</v>
      </c>
      <c r="F19" s="38" t="n">
        <v>1560.87</v>
      </c>
      <c r="G19" s="38" t="n">
        <v>723.06</v>
      </c>
      <c r="H19" s="38" t="n">
        <v>40.03</v>
      </c>
      <c r="I19" s="38" t="n">
        <v>166.35</v>
      </c>
      <c r="J19" s="38" t="n">
        <v>0</v>
      </c>
      <c r="K19" s="38" t="n">
        <v>0</v>
      </c>
      <c r="L19" s="38" t="n">
        <v>1326.59</v>
      </c>
      <c r="M19" s="38" t="n">
        <v>1108.01</v>
      </c>
      <c r="N19" s="38" t="n">
        <v>534.76</v>
      </c>
      <c r="O19" s="38" t="n">
        <v>17.5</v>
      </c>
      <c r="P19" s="38" t="n">
        <v>60.3</v>
      </c>
      <c r="Q19" s="38" t="n">
        <v>79.71</v>
      </c>
      <c r="R19" s="38" t="n">
        <v>91.89</v>
      </c>
      <c r="S19" s="38" t="n">
        <v>0</v>
      </c>
      <c r="T19" s="38" t="n">
        <v>21.4</v>
      </c>
      <c r="U19" s="55" t="n">
        <v>5.41</v>
      </c>
      <c r="V19" s="38" t="n">
        <v>28.55</v>
      </c>
      <c r="W19" s="38" t="n">
        <v>55.36</v>
      </c>
      <c r="X19" s="38" t="n">
        <v>5764.43</v>
      </c>
      <c r="Y19" s="38" t="n">
        <v>5764.43</v>
      </c>
      <c r="Z19" s="55" t="n">
        <v>0</v>
      </c>
    </row>
    <row r="20" customFormat="false" ht="15" hidden="false" customHeight="false" outlineLevel="0" collapsed="false">
      <c r="A20" s="45" t="s">
        <v>86</v>
      </c>
      <c r="B20" s="45" t="s">
        <v>333</v>
      </c>
      <c r="C20" s="47" t="n">
        <v>740</v>
      </c>
      <c r="D20" s="45" t="s">
        <v>30</v>
      </c>
      <c r="E20" s="45" t="s">
        <v>335</v>
      </c>
      <c r="F20" s="46" t="n">
        <v>2130.49</v>
      </c>
      <c r="G20" s="46" t="n">
        <v>433.71</v>
      </c>
      <c r="H20" s="46" t="n">
        <v>25.37</v>
      </c>
      <c r="I20" s="46" t="n">
        <v>157</v>
      </c>
      <c r="J20" s="46" t="n">
        <v>0</v>
      </c>
      <c r="K20" s="46" t="n">
        <v>0</v>
      </c>
      <c r="L20" s="46" t="n">
        <v>1278.67</v>
      </c>
      <c r="M20" s="46" t="n">
        <v>493.24</v>
      </c>
      <c r="N20" s="46" t="n">
        <v>512.06</v>
      </c>
      <c r="O20" s="46" t="n">
        <v>0</v>
      </c>
      <c r="P20" s="46" t="n">
        <v>57.74</v>
      </c>
      <c r="Q20" s="46" t="n">
        <v>151.59</v>
      </c>
      <c r="R20" s="46" t="n">
        <v>91.89</v>
      </c>
      <c r="S20" s="46" t="n">
        <v>401.06</v>
      </c>
      <c r="T20" s="46" t="n">
        <v>7.09</v>
      </c>
      <c r="U20" s="56" t="n">
        <v>5.41</v>
      </c>
      <c r="V20" s="46" t="n">
        <v>37.36</v>
      </c>
      <c r="W20" s="46" t="n">
        <v>49.86</v>
      </c>
      <c r="X20" s="46" t="n">
        <v>5782.69</v>
      </c>
      <c r="Y20" s="46" t="n">
        <v>5782.69</v>
      </c>
      <c r="Z20" s="56" t="n">
        <v>0</v>
      </c>
    </row>
    <row r="21" customFormat="false" ht="15" hidden="false" customHeight="false" outlineLevel="0" collapsed="false">
      <c r="A21" s="37" t="s">
        <v>106</v>
      </c>
      <c r="B21" s="37" t="s">
        <v>333</v>
      </c>
      <c r="C21" s="39" t="n">
        <v>740</v>
      </c>
      <c r="D21" s="37" t="s">
        <v>334</v>
      </c>
      <c r="E21" s="37" t="s">
        <v>320</v>
      </c>
      <c r="F21" s="38" t="n">
        <v>1488.51</v>
      </c>
      <c r="G21" s="38" t="n">
        <v>753.41</v>
      </c>
      <c r="H21" s="38" t="n">
        <v>43.41</v>
      </c>
      <c r="I21" s="38" t="n">
        <v>0</v>
      </c>
      <c r="J21" s="38" t="n">
        <v>2.8</v>
      </c>
      <c r="K21" s="38" t="n">
        <v>0</v>
      </c>
      <c r="L21" s="38" t="n">
        <v>1429.65</v>
      </c>
      <c r="M21" s="38" t="n">
        <v>1181.61</v>
      </c>
      <c r="N21" s="38" t="n">
        <v>567.89</v>
      </c>
      <c r="O21" s="38" t="n">
        <v>18.02</v>
      </c>
      <c r="P21" s="38" t="n">
        <v>62.8</v>
      </c>
      <c r="Q21" s="38" t="n">
        <v>141.76</v>
      </c>
      <c r="R21" s="38" t="n">
        <v>91.89</v>
      </c>
      <c r="S21" s="38" t="n">
        <v>0</v>
      </c>
      <c r="T21" s="38" t="n">
        <v>0.22</v>
      </c>
      <c r="U21" s="55" t="n">
        <v>5.41</v>
      </c>
      <c r="V21" s="38" t="n">
        <v>28.55</v>
      </c>
      <c r="W21" s="38" t="n">
        <v>34.18</v>
      </c>
      <c r="X21" s="38" t="n">
        <v>5815.93</v>
      </c>
      <c r="Y21" s="38" t="n">
        <v>5815.93</v>
      </c>
      <c r="Z21" s="55" t="n">
        <v>0</v>
      </c>
    </row>
    <row r="22" customFormat="false" ht="15" hidden="false" customHeight="false" outlineLevel="0" collapsed="false">
      <c r="A22" s="45" t="s">
        <v>83</v>
      </c>
      <c r="B22" s="45" t="s">
        <v>333</v>
      </c>
      <c r="C22" s="47" t="n">
        <v>740</v>
      </c>
      <c r="D22" s="45" t="s">
        <v>30</v>
      </c>
      <c r="E22" s="45" t="s">
        <v>320</v>
      </c>
      <c r="F22" s="46" t="n">
        <v>2095.13</v>
      </c>
      <c r="G22" s="46" t="n">
        <v>468.64</v>
      </c>
      <c r="H22" s="46" t="n">
        <v>36.95</v>
      </c>
      <c r="I22" s="46" t="n">
        <v>157</v>
      </c>
      <c r="J22" s="46" t="n">
        <v>0</v>
      </c>
      <c r="K22" s="46" t="n">
        <v>0</v>
      </c>
      <c r="L22" s="46" t="n">
        <v>1225.58</v>
      </c>
      <c r="M22" s="46" t="n">
        <v>1008.84</v>
      </c>
      <c r="N22" s="46" t="n">
        <v>486.89</v>
      </c>
      <c r="O22" s="46" t="n">
        <v>15.93</v>
      </c>
      <c r="P22" s="46" t="n">
        <v>54.91</v>
      </c>
      <c r="Q22" s="46" t="n">
        <v>144.14</v>
      </c>
      <c r="R22" s="46" t="n">
        <v>91.89</v>
      </c>
      <c r="S22" s="46" t="n">
        <v>0</v>
      </c>
      <c r="T22" s="46" t="n">
        <v>0</v>
      </c>
      <c r="U22" s="56" t="n">
        <v>5.41</v>
      </c>
      <c r="V22" s="46" t="n">
        <v>28.55</v>
      </c>
      <c r="W22" s="46" t="n">
        <v>33.96</v>
      </c>
      <c r="X22" s="46" t="n">
        <v>5819.86</v>
      </c>
      <c r="Y22" s="46" t="n">
        <v>5819.86</v>
      </c>
      <c r="Z22" s="56" t="n">
        <v>0</v>
      </c>
    </row>
    <row r="23" customFormat="false" ht="15" hidden="false" customHeight="false" outlineLevel="0" collapsed="false">
      <c r="A23" s="37" t="s">
        <v>110</v>
      </c>
      <c r="B23" s="37" t="s">
        <v>333</v>
      </c>
      <c r="C23" s="39" t="n">
        <v>740</v>
      </c>
      <c r="D23" s="37" t="s">
        <v>30</v>
      </c>
      <c r="E23" s="37" t="s">
        <v>335</v>
      </c>
      <c r="F23" s="38" t="n">
        <v>2123.14</v>
      </c>
      <c r="G23" s="38" t="n">
        <v>533.86</v>
      </c>
      <c r="H23" s="38" t="n">
        <v>26.07</v>
      </c>
      <c r="I23" s="38" t="n">
        <v>162.35</v>
      </c>
      <c r="J23" s="38" t="n">
        <v>0</v>
      </c>
      <c r="K23" s="38" t="n">
        <v>0</v>
      </c>
      <c r="L23" s="38" t="n">
        <v>1292.22</v>
      </c>
      <c r="M23" s="38" t="n">
        <v>823.73</v>
      </c>
      <c r="N23" s="38" t="n">
        <v>518.48</v>
      </c>
      <c r="O23" s="38" t="n">
        <v>3.96</v>
      </c>
      <c r="P23" s="38" t="n">
        <v>58.47</v>
      </c>
      <c r="Q23" s="38" t="n">
        <v>153.49</v>
      </c>
      <c r="R23" s="38" t="n">
        <v>91.89</v>
      </c>
      <c r="S23" s="38" t="n">
        <v>174.18</v>
      </c>
      <c r="T23" s="38" t="n">
        <v>11.22</v>
      </c>
      <c r="U23" s="55" t="n">
        <v>5.41</v>
      </c>
      <c r="V23" s="38" t="n">
        <v>32.39</v>
      </c>
      <c r="W23" s="38" t="n">
        <v>49.02</v>
      </c>
      <c r="X23" s="38" t="n">
        <v>6010.87</v>
      </c>
      <c r="Y23" s="38" t="n">
        <v>6010.87</v>
      </c>
      <c r="Z23" s="55" t="n">
        <v>0</v>
      </c>
    </row>
    <row r="24" customFormat="false" ht="15" hidden="false" customHeight="false" outlineLevel="0" collapsed="false">
      <c r="A24" s="45" t="s">
        <v>102</v>
      </c>
      <c r="B24" s="45" t="s">
        <v>333</v>
      </c>
      <c r="C24" s="47" t="n">
        <v>740</v>
      </c>
      <c r="D24" s="45" t="s">
        <v>334</v>
      </c>
      <c r="E24" s="45" t="s">
        <v>335</v>
      </c>
      <c r="F24" s="46" t="n">
        <v>1893.43</v>
      </c>
      <c r="G24" s="46" t="n">
        <v>788.32</v>
      </c>
      <c r="H24" s="46" t="n">
        <v>38.66</v>
      </c>
      <c r="I24" s="46" t="n">
        <v>0</v>
      </c>
      <c r="J24" s="46" t="n">
        <v>0.9</v>
      </c>
      <c r="K24" s="46" t="n">
        <v>0</v>
      </c>
      <c r="L24" s="46" t="n">
        <v>1360.67</v>
      </c>
      <c r="M24" s="46" t="n">
        <v>1094.54</v>
      </c>
      <c r="N24" s="46" t="n">
        <v>545.66</v>
      </c>
      <c r="O24" s="46" t="n">
        <v>15.73</v>
      </c>
      <c r="P24" s="46" t="n">
        <v>61.11</v>
      </c>
      <c r="Q24" s="46" t="n">
        <v>152.21</v>
      </c>
      <c r="R24" s="46" t="n">
        <v>91.89</v>
      </c>
      <c r="S24" s="46" t="n">
        <v>25.14</v>
      </c>
      <c r="T24" s="46" t="n">
        <v>12.03</v>
      </c>
      <c r="U24" s="56" t="n">
        <v>5.41</v>
      </c>
      <c r="V24" s="46" t="n">
        <v>29.1</v>
      </c>
      <c r="W24" s="46" t="n">
        <v>46.54</v>
      </c>
      <c r="X24" s="46" t="n">
        <v>6114.8</v>
      </c>
      <c r="Y24" s="46" t="n">
        <v>6114.8</v>
      </c>
      <c r="Z24" s="56" t="n">
        <v>0</v>
      </c>
    </row>
    <row r="25" customFormat="false" ht="15" hidden="false" customHeight="false" outlineLevel="0" collapsed="false">
      <c r="A25" s="37" t="s">
        <v>94</v>
      </c>
      <c r="B25" s="37" t="s">
        <v>333</v>
      </c>
      <c r="C25" s="39" t="n">
        <v>740</v>
      </c>
      <c r="D25" s="37" t="s">
        <v>334</v>
      </c>
      <c r="E25" s="37" t="s">
        <v>335</v>
      </c>
      <c r="F25" s="38" t="n">
        <v>2154.18</v>
      </c>
      <c r="G25" s="38" t="n">
        <v>399.61</v>
      </c>
      <c r="H25" s="38" t="n">
        <v>38.6</v>
      </c>
      <c r="I25" s="38" t="n">
        <v>0</v>
      </c>
      <c r="J25" s="38" t="n">
        <v>1.03</v>
      </c>
      <c r="K25" s="38" t="n">
        <v>0</v>
      </c>
      <c r="L25" s="38" t="n">
        <v>1426.22</v>
      </c>
      <c r="M25" s="38" t="n">
        <v>1116.82</v>
      </c>
      <c r="N25" s="38" t="n">
        <v>576.64</v>
      </c>
      <c r="O25" s="38" t="n">
        <v>14.58</v>
      </c>
      <c r="P25" s="38" t="n">
        <v>64.58</v>
      </c>
      <c r="Q25" s="38" t="n">
        <v>160.85</v>
      </c>
      <c r="R25" s="38" t="n">
        <v>91.89</v>
      </c>
      <c r="S25" s="38" t="n">
        <v>48.61</v>
      </c>
      <c r="T25" s="38" t="n">
        <v>11.18</v>
      </c>
      <c r="U25" s="55" t="n">
        <v>5.41</v>
      </c>
      <c r="V25" s="38" t="n">
        <v>29.65</v>
      </c>
      <c r="W25" s="38" t="n">
        <v>46.24</v>
      </c>
      <c r="X25" s="38" t="n">
        <v>6139.86</v>
      </c>
      <c r="Y25" s="38" t="n">
        <v>6139.86</v>
      </c>
      <c r="Z25" s="55" t="n">
        <v>0</v>
      </c>
    </row>
    <row r="26" customFormat="false" ht="15" hidden="false" customHeight="false" outlineLevel="0" collapsed="false">
      <c r="A26" s="45" t="s">
        <v>130</v>
      </c>
      <c r="B26" s="45" t="s">
        <v>333</v>
      </c>
      <c r="C26" s="47" t="n">
        <v>740</v>
      </c>
      <c r="D26" s="45" t="s">
        <v>30</v>
      </c>
      <c r="E26" s="45" t="s">
        <v>335</v>
      </c>
      <c r="F26" s="46" t="n">
        <v>2300.2</v>
      </c>
      <c r="G26" s="46" t="n">
        <v>421.36</v>
      </c>
      <c r="H26" s="46" t="n">
        <v>37.17</v>
      </c>
      <c r="I26" s="46" t="n">
        <v>162.89</v>
      </c>
      <c r="J26" s="46" t="n">
        <v>0</v>
      </c>
      <c r="K26" s="46" t="n">
        <v>0</v>
      </c>
      <c r="L26" s="46" t="n">
        <v>1292.22</v>
      </c>
      <c r="M26" s="46" t="n">
        <v>1042.08</v>
      </c>
      <c r="N26" s="46" t="n">
        <v>518.48</v>
      </c>
      <c r="O26" s="46" t="n">
        <v>15.29</v>
      </c>
      <c r="P26" s="46" t="n">
        <v>58.47</v>
      </c>
      <c r="Q26" s="46" t="n">
        <v>153.49</v>
      </c>
      <c r="R26" s="46" t="n">
        <v>91.89</v>
      </c>
      <c r="S26" s="46" t="n">
        <v>21.58</v>
      </c>
      <c r="T26" s="46" t="n">
        <v>10.74</v>
      </c>
      <c r="U26" s="56" t="n">
        <v>5.41</v>
      </c>
      <c r="V26" s="46" t="n">
        <v>29.05</v>
      </c>
      <c r="W26" s="46" t="n">
        <v>45.2</v>
      </c>
      <c r="X26" s="46" t="n">
        <v>6160.32</v>
      </c>
      <c r="Y26" s="46" t="n">
        <v>6160.32</v>
      </c>
      <c r="Z26" s="56" t="n">
        <v>0</v>
      </c>
    </row>
    <row r="27" customFormat="false" ht="15" hidden="false" customHeight="false" outlineLevel="0" collapsed="false">
      <c r="A27" s="37" t="s">
        <v>151</v>
      </c>
      <c r="B27" s="37" t="s">
        <v>333</v>
      </c>
      <c r="C27" s="39" t="n">
        <v>740</v>
      </c>
      <c r="D27" s="37" t="s">
        <v>334</v>
      </c>
      <c r="E27" s="37" t="s">
        <v>320</v>
      </c>
      <c r="F27" s="38" t="n">
        <v>1190.85</v>
      </c>
      <c r="G27" s="38" t="n">
        <v>973.25</v>
      </c>
      <c r="H27" s="38" t="n">
        <v>50.76</v>
      </c>
      <c r="I27" s="38" t="n">
        <v>0</v>
      </c>
      <c r="J27" s="38" t="n">
        <v>3.8</v>
      </c>
      <c r="K27" s="38" t="n">
        <v>0</v>
      </c>
      <c r="L27" s="38" t="n">
        <v>1679.24</v>
      </c>
      <c r="M27" s="38" t="n">
        <v>1426.22</v>
      </c>
      <c r="N27" s="38" t="n">
        <v>685.45</v>
      </c>
      <c r="O27" s="38" t="n">
        <v>21.75</v>
      </c>
      <c r="P27" s="38" t="n">
        <v>75.8</v>
      </c>
      <c r="Q27" s="38" t="n">
        <v>171.11</v>
      </c>
      <c r="R27" s="38" t="n">
        <v>91.89</v>
      </c>
      <c r="S27" s="38" t="n">
        <v>0</v>
      </c>
      <c r="T27" s="38" t="n">
        <v>26.7</v>
      </c>
      <c r="U27" s="55" t="n">
        <v>5.41</v>
      </c>
      <c r="V27" s="38" t="n">
        <v>28.55</v>
      </c>
      <c r="W27" s="38" t="n">
        <v>60.66</v>
      </c>
      <c r="X27" s="38" t="n">
        <v>6430.79</v>
      </c>
      <c r="Y27" s="38" t="n">
        <v>6430.79</v>
      </c>
      <c r="Z27" s="55" t="n">
        <v>0</v>
      </c>
    </row>
    <row r="28" customFormat="false" ht="15" hidden="false" customHeight="false" outlineLevel="0" collapsed="false">
      <c r="A28" s="45" t="s">
        <v>126</v>
      </c>
      <c r="B28" s="45" t="s">
        <v>333</v>
      </c>
      <c r="C28" s="47" t="n">
        <v>740</v>
      </c>
      <c r="D28" s="45" t="s">
        <v>30</v>
      </c>
      <c r="E28" s="45" t="s">
        <v>335</v>
      </c>
      <c r="F28" s="46" t="n">
        <v>2313.11</v>
      </c>
      <c r="G28" s="46" t="n">
        <v>535.56</v>
      </c>
      <c r="H28" s="46" t="n">
        <v>37.36</v>
      </c>
      <c r="I28" s="46" t="n">
        <v>198.11</v>
      </c>
      <c r="J28" s="46" t="n">
        <v>0</v>
      </c>
      <c r="K28" s="46" t="n">
        <v>0</v>
      </c>
      <c r="L28" s="46" t="n">
        <v>1411.74</v>
      </c>
      <c r="M28" s="46" t="n">
        <v>1096.97</v>
      </c>
      <c r="N28" s="46" t="n">
        <v>575.02</v>
      </c>
      <c r="O28" s="46" t="n">
        <v>13.91</v>
      </c>
      <c r="P28" s="46" t="n">
        <v>64.84</v>
      </c>
      <c r="Q28" s="46" t="n">
        <v>170.23</v>
      </c>
      <c r="R28" s="46" t="n">
        <v>91.89</v>
      </c>
      <c r="S28" s="46" t="n">
        <v>56.88</v>
      </c>
      <c r="T28" s="46" t="n">
        <v>12.67</v>
      </c>
      <c r="U28" s="56" t="n">
        <v>5.41</v>
      </c>
      <c r="V28" s="46" t="n">
        <v>29.86</v>
      </c>
      <c r="W28" s="46" t="n">
        <v>47.94</v>
      </c>
      <c r="X28" s="46" t="n">
        <v>6613.57</v>
      </c>
      <c r="Y28" s="46" t="n">
        <v>6613.57</v>
      </c>
      <c r="Z28" s="56" t="n">
        <v>0</v>
      </c>
    </row>
    <row r="29" customFormat="false" ht="15" hidden="false" customHeight="false" outlineLevel="0" collapsed="false">
      <c r="A29" s="37" t="s">
        <v>114</v>
      </c>
      <c r="B29" s="37" t="s">
        <v>333</v>
      </c>
      <c r="C29" s="39" t="n">
        <v>740</v>
      </c>
      <c r="D29" s="37" t="s">
        <v>30</v>
      </c>
      <c r="E29" s="37" t="s">
        <v>335</v>
      </c>
      <c r="F29" s="38" t="n">
        <v>1893.93</v>
      </c>
      <c r="G29" s="38" t="n">
        <v>990.93</v>
      </c>
      <c r="H29" s="38" t="n">
        <v>40.2</v>
      </c>
      <c r="I29" s="38" t="n">
        <v>170.24</v>
      </c>
      <c r="J29" s="38" t="n">
        <v>0</v>
      </c>
      <c r="K29" s="38" t="n">
        <v>0</v>
      </c>
      <c r="L29" s="38" t="n">
        <v>1440.91</v>
      </c>
      <c r="M29" s="38" t="n">
        <v>1160.65</v>
      </c>
      <c r="N29" s="38" t="n">
        <v>588.8</v>
      </c>
      <c r="O29" s="38" t="n">
        <v>16.18</v>
      </c>
      <c r="P29" s="38" t="n">
        <v>66.4</v>
      </c>
      <c r="Q29" s="38" t="n">
        <v>87.77</v>
      </c>
      <c r="R29" s="38" t="n">
        <v>91.89</v>
      </c>
      <c r="S29" s="38" t="n">
        <v>40.3</v>
      </c>
      <c r="T29" s="38" t="n">
        <v>15.5</v>
      </c>
      <c r="U29" s="55" t="n">
        <v>5.41</v>
      </c>
      <c r="V29" s="38" t="n">
        <v>29.36</v>
      </c>
      <c r="W29" s="38" t="n">
        <v>50.27</v>
      </c>
      <c r="X29" s="38" t="n">
        <v>6638.46</v>
      </c>
      <c r="Y29" s="38" t="n">
        <v>6638.46</v>
      </c>
      <c r="Z29" s="55" t="n">
        <v>0</v>
      </c>
    </row>
    <row r="30" customFormat="false" ht="15" hidden="false" customHeight="false" outlineLevel="0" collapsed="false">
      <c r="A30" s="45" t="s">
        <v>146</v>
      </c>
      <c r="B30" s="45" t="s">
        <v>333</v>
      </c>
      <c r="C30" s="47" t="n">
        <v>740</v>
      </c>
      <c r="D30" s="45" t="s">
        <v>334</v>
      </c>
      <c r="E30" s="45" t="s">
        <v>320</v>
      </c>
      <c r="F30" s="46" t="n">
        <v>1238.55</v>
      </c>
      <c r="G30" s="46" t="n">
        <v>1019.16</v>
      </c>
      <c r="H30" s="46" t="n">
        <v>52.5</v>
      </c>
      <c r="I30" s="46" t="n">
        <v>0</v>
      </c>
      <c r="J30" s="46" t="n">
        <v>3.97</v>
      </c>
      <c r="K30" s="46" t="n">
        <v>0</v>
      </c>
      <c r="L30" s="46" t="n">
        <v>1739.26</v>
      </c>
      <c r="M30" s="46" t="n">
        <v>1484.86</v>
      </c>
      <c r="N30" s="46" t="n">
        <v>713.63</v>
      </c>
      <c r="O30" s="46" t="n">
        <v>22.64</v>
      </c>
      <c r="P30" s="46" t="n">
        <v>78.91</v>
      </c>
      <c r="Q30" s="46" t="n">
        <v>178.15</v>
      </c>
      <c r="R30" s="46" t="n">
        <v>91.89</v>
      </c>
      <c r="S30" s="46" t="n">
        <v>0</v>
      </c>
      <c r="T30" s="46" t="n">
        <v>39.72</v>
      </c>
      <c r="U30" s="56" t="n">
        <v>5.41</v>
      </c>
      <c r="V30" s="46" t="n">
        <v>28.55</v>
      </c>
      <c r="W30" s="46" t="n">
        <v>73.68</v>
      </c>
      <c r="X30" s="46" t="n">
        <v>6697.2</v>
      </c>
      <c r="Y30" s="46" t="n">
        <v>6697.2</v>
      </c>
      <c r="Z30" s="56" t="n">
        <v>0</v>
      </c>
    </row>
    <row r="31" customFormat="false" ht="15" hidden="false" customHeight="false" outlineLevel="0" collapsed="false">
      <c r="A31" s="37" t="s">
        <v>122</v>
      </c>
      <c r="B31" s="37" t="s">
        <v>333</v>
      </c>
      <c r="C31" s="39" t="n">
        <v>740</v>
      </c>
      <c r="D31" s="37" t="s">
        <v>334</v>
      </c>
      <c r="E31" s="37" t="s">
        <v>320</v>
      </c>
      <c r="F31" s="38" t="n">
        <v>2112.25</v>
      </c>
      <c r="G31" s="38" t="n">
        <v>902.39</v>
      </c>
      <c r="H31" s="38" t="n">
        <v>46</v>
      </c>
      <c r="I31" s="38" t="n">
        <v>0</v>
      </c>
      <c r="J31" s="38" t="n">
        <v>1.3</v>
      </c>
      <c r="K31" s="38" t="n">
        <v>0</v>
      </c>
      <c r="L31" s="38" t="n">
        <v>1524.69</v>
      </c>
      <c r="M31" s="38" t="n">
        <v>1292.96</v>
      </c>
      <c r="N31" s="38" t="n">
        <v>623.1</v>
      </c>
      <c r="O31" s="38" t="n">
        <v>20.17</v>
      </c>
      <c r="P31" s="38" t="n">
        <v>69.79</v>
      </c>
      <c r="Q31" s="38" t="n">
        <v>173.81</v>
      </c>
      <c r="R31" s="38" t="n">
        <v>91.89</v>
      </c>
      <c r="S31" s="38" t="n">
        <v>0</v>
      </c>
      <c r="T31" s="38" t="n">
        <v>14.88</v>
      </c>
      <c r="U31" s="55" t="n">
        <v>5.41</v>
      </c>
      <c r="V31" s="38" t="n">
        <v>28.55</v>
      </c>
      <c r="W31" s="38" t="n">
        <v>48.84</v>
      </c>
      <c r="X31" s="38" t="n">
        <v>6907.19</v>
      </c>
      <c r="Y31" s="38" t="n">
        <v>6907.19</v>
      </c>
      <c r="Z31" s="55" t="n">
        <v>0</v>
      </c>
    </row>
    <row r="32" customFormat="false" ht="15" hidden="false" customHeight="false" outlineLevel="0" collapsed="false">
      <c r="A32" s="45" t="s">
        <v>155</v>
      </c>
      <c r="B32" s="45" t="s">
        <v>333</v>
      </c>
      <c r="C32" s="47" t="n">
        <v>740</v>
      </c>
      <c r="D32" s="45" t="s">
        <v>334</v>
      </c>
      <c r="E32" s="45" t="s">
        <v>320</v>
      </c>
      <c r="F32" s="46" t="n">
        <v>1803.35</v>
      </c>
      <c r="G32" s="46" t="n">
        <v>786.08</v>
      </c>
      <c r="H32" s="46" t="n">
        <v>51.38</v>
      </c>
      <c r="I32" s="46" t="n">
        <v>0</v>
      </c>
      <c r="J32" s="46" t="n">
        <v>1.79</v>
      </c>
      <c r="K32" s="46" t="n">
        <v>0</v>
      </c>
      <c r="L32" s="46" t="n">
        <v>1700.29</v>
      </c>
      <c r="M32" s="46" t="n">
        <v>1464.35</v>
      </c>
      <c r="N32" s="46" t="n">
        <v>705.7</v>
      </c>
      <c r="O32" s="46" t="n">
        <v>22.84</v>
      </c>
      <c r="P32" s="46" t="n">
        <v>79.04</v>
      </c>
      <c r="Q32" s="46" t="n">
        <v>196.85</v>
      </c>
      <c r="R32" s="46" t="n">
        <v>91.89</v>
      </c>
      <c r="S32" s="46" t="n">
        <v>0</v>
      </c>
      <c r="T32" s="46" t="n">
        <v>65.35</v>
      </c>
      <c r="U32" s="56" t="n">
        <v>5.41</v>
      </c>
      <c r="V32" s="46" t="n">
        <v>28.55</v>
      </c>
      <c r="W32" s="46" t="n">
        <v>99.31</v>
      </c>
      <c r="X32" s="46" t="n">
        <v>7002.88</v>
      </c>
      <c r="Y32" s="46" t="n">
        <v>7002.88</v>
      </c>
      <c r="Z32" s="56" t="n">
        <v>0</v>
      </c>
    </row>
    <row r="33" customFormat="false" ht="15" hidden="false" customHeight="false" outlineLevel="0" collapsed="false">
      <c r="A33" s="37" t="s">
        <v>142</v>
      </c>
      <c r="B33" s="37" t="s">
        <v>333</v>
      </c>
      <c r="C33" s="39" t="n">
        <v>740</v>
      </c>
      <c r="D33" s="37" t="s">
        <v>334</v>
      </c>
      <c r="E33" s="37" t="s">
        <v>335</v>
      </c>
      <c r="F33" s="38" t="n">
        <v>2227</v>
      </c>
      <c r="G33" s="38" t="n">
        <v>951.41</v>
      </c>
      <c r="H33" s="38" t="n">
        <v>39.55</v>
      </c>
      <c r="I33" s="38" t="n">
        <v>0</v>
      </c>
      <c r="J33" s="38" t="n">
        <v>1.08</v>
      </c>
      <c r="K33" s="38" t="n">
        <v>0</v>
      </c>
      <c r="L33" s="38" t="n">
        <v>1524.69</v>
      </c>
      <c r="M33" s="38" t="n">
        <v>1180.95</v>
      </c>
      <c r="N33" s="38" t="n">
        <v>623.1</v>
      </c>
      <c r="O33" s="38" t="n">
        <v>14.43</v>
      </c>
      <c r="P33" s="38" t="n">
        <v>69.79</v>
      </c>
      <c r="Q33" s="38" t="n">
        <v>173.81</v>
      </c>
      <c r="R33" s="38" t="n">
        <v>91.89</v>
      </c>
      <c r="S33" s="38" t="n">
        <v>59.6</v>
      </c>
      <c r="T33" s="38" t="n">
        <v>12.23</v>
      </c>
      <c r="U33" s="55" t="n">
        <v>5.41</v>
      </c>
      <c r="V33" s="38" t="n">
        <v>29.98</v>
      </c>
      <c r="W33" s="38" t="n">
        <v>47.62</v>
      </c>
      <c r="X33" s="38" t="n">
        <v>7004.92</v>
      </c>
      <c r="Y33" s="38" t="n">
        <v>7004.92</v>
      </c>
      <c r="Z33" s="55" t="n">
        <v>0</v>
      </c>
    </row>
    <row r="34" customFormat="false" ht="15" hidden="false" customHeight="false" outlineLevel="0" collapsed="false">
      <c r="A34" s="45" t="s">
        <v>138</v>
      </c>
      <c r="B34" s="45" t="s">
        <v>333</v>
      </c>
      <c r="C34" s="47" t="n">
        <v>740</v>
      </c>
      <c r="D34" s="45" t="s">
        <v>334</v>
      </c>
      <c r="E34" s="45" t="s">
        <v>335</v>
      </c>
      <c r="F34" s="46" t="n">
        <v>2832.61</v>
      </c>
      <c r="G34" s="46" t="n">
        <v>428.52</v>
      </c>
      <c r="H34" s="46" t="n">
        <v>40.04</v>
      </c>
      <c r="I34" s="46" t="n">
        <v>0</v>
      </c>
      <c r="J34" s="46" t="n">
        <v>1.29</v>
      </c>
      <c r="K34" s="46" t="n">
        <v>0</v>
      </c>
      <c r="L34" s="46" t="n">
        <v>1603.21</v>
      </c>
      <c r="M34" s="46" t="n">
        <v>1216.34</v>
      </c>
      <c r="N34" s="46" t="n">
        <v>660.08</v>
      </c>
      <c r="O34" s="46" t="n">
        <v>13.51</v>
      </c>
      <c r="P34" s="46" t="n">
        <v>73.93</v>
      </c>
      <c r="Q34" s="46" t="n">
        <v>184.12</v>
      </c>
      <c r="R34" s="46" t="n">
        <v>91.89</v>
      </c>
      <c r="S34" s="46" t="n">
        <v>82.16</v>
      </c>
      <c r="T34" s="46" t="n">
        <v>15.39</v>
      </c>
      <c r="U34" s="56" t="n">
        <v>5.41</v>
      </c>
      <c r="V34" s="46" t="n">
        <v>30.4</v>
      </c>
      <c r="W34" s="46" t="n">
        <v>51.2</v>
      </c>
      <c r="X34" s="46" t="n">
        <v>7278.89</v>
      </c>
      <c r="Y34" s="46" t="n">
        <v>7278.89</v>
      </c>
      <c r="Z34" s="56" t="n">
        <v>0</v>
      </c>
    </row>
    <row r="35" customFormat="false" ht="15" hidden="false" customHeight="false" outlineLevel="0" collapsed="false">
      <c r="A35" s="37" t="s">
        <v>118</v>
      </c>
      <c r="B35" s="37" t="s">
        <v>333</v>
      </c>
      <c r="C35" s="39" t="n">
        <v>740</v>
      </c>
      <c r="D35" s="37" t="s">
        <v>334</v>
      </c>
      <c r="E35" s="37" t="s">
        <v>335</v>
      </c>
      <c r="F35" s="38" t="n">
        <v>2362.7</v>
      </c>
      <c r="G35" s="38" t="n">
        <v>835.52</v>
      </c>
      <c r="H35" s="38" t="n">
        <v>45.56</v>
      </c>
      <c r="I35" s="38" t="n">
        <v>0</v>
      </c>
      <c r="J35" s="38" t="n">
        <v>1.43</v>
      </c>
      <c r="K35" s="38" t="n">
        <v>0</v>
      </c>
      <c r="L35" s="38" t="n">
        <v>1619.18</v>
      </c>
      <c r="M35" s="38" t="n">
        <v>1325.27</v>
      </c>
      <c r="N35" s="38" t="n">
        <v>667.59</v>
      </c>
      <c r="O35" s="38" t="n">
        <v>18.53</v>
      </c>
      <c r="P35" s="38" t="n">
        <v>74.77</v>
      </c>
      <c r="Q35" s="38" t="n">
        <v>186.22</v>
      </c>
      <c r="R35" s="38" t="n">
        <v>91.89</v>
      </c>
      <c r="S35" s="38" t="n">
        <v>33.17</v>
      </c>
      <c r="T35" s="38" t="n">
        <v>14.12</v>
      </c>
      <c r="U35" s="55" t="n">
        <v>5.41</v>
      </c>
      <c r="V35" s="38" t="n">
        <v>29.27</v>
      </c>
      <c r="W35" s="38" t="n">
        <v>48.8</v>
      </c>
      <c r="X35" s="38" t="n">
        <v>7310.63</v>
      </c>
      <c r="Y35" s="38" t="n">
        <v>7310.63</v>
      </c>
      <c r="Z35" s="55" t="n">
        <v>0</v>
      </c>
    </row>
    <row r="36" customFormat="false" ht="15" hidden="false" customHeight="false" outlineLevel="0" collapsed="false">
      <c r="A36" s="45" t="s">
        <v>134</v>
      </c>
      <c r="B36" s="45" t="s">
        <v>333</v>
      </c>
      <c r="C36" s="47" t="n">
        <v>740</v>
      </c>
      <c r="D36" s="45" t="s">
        <v>334</v>
      </c>
      <c r="E36" s="45" t="s">
        <v>335</v>
      </c>
      <c r="F36" s="46" t="n">
        <v>2874.29</v>
      </c>
      <c r="G36" s="46" t="n">
        <v>435.62</v>
      </c>
      <c r="H36" s="46" t="n">
        <v>41.24</v>
      </c>
      <c r="I36" s="46" t="n">
        <v>0</v>
      </c>
      <c r="J36" s="46" t="n">
        <v>1.3</v>
      </c>
      <c r="K36" s="46" t="n">
        <v>0</v>
      </c>
      <c r="L36" s="46" t="n">
        <v>1619.18</v>
      </c>
      <c r="M36" s="46" t="n">
        <v>1244.96</v>
      </c>
      <c r="N36" s="46" t="n">
        <v>667.59</v>
      </c>
      <c r="O36" s="46" t="n">
        <v>14.42</v>
      </c>
      <c r="P36" s="46" t="n">
        <v>74.77</v>
      </c>
      <c r="Q36" s="46" t="n">
        <v>186.22</v>
      </c>
      <c r="R36" s="46" t="n">
        <v>91.89</v>
      </c>
      <c r="S36" s="46" t="n">
        <v>74.34</v>
      </c>
      <c r="T36" s="46" t="n">
        <v>10.95</v>
      </c>
      <c r="U36" s="56" t="n">
        <v>5.41</v>
      </c>
      <c r="V36" s="46" t="n">
        <v>30.22</v>
      </c>
      <c r="W36" s="46" t="n">
        <v>46.58</v>
      </c>
      <c r="X36" s="46" t="n">
        <v>7372.38</v>
      </c>
      <c r="Y36" s="46" t="n">
        <v>7372.38</v>
      </c>
      <c r="Z36" s="56" t="n">
        <v>0</v>
      </c>
    </row>
    <row r="37" customFormat="false" ht="15" hidden="false" customHeight="false" outlineLevel="0" collapsed="false">
      <c r="A37" s="37" t="s">
        <v>35</v>
      </c>
      <c r="B37" s="37" t="s">
        <v>336</v>
      </c>
      <c r="C37" s="39" t="n">
        <v>49</v>
      </c>
      <c r="D37" s="37" t="s">
        <v>30</v>
      </c>
      <c r="E37" s="37" t="s">
        <v>335</v>
      </c>
      <c r="F37" s="38" t="n">
        <v>1819.05</v>
      </c>
      <c r="G37" s="38" t="n">
        <v>363.51</v>
      </c>
      <c r="H37" s="38" t="n">
        <v>23.27</v>
      </c>
      <c r="I37" s="38" t="n">
        <v>66.22</v>
      </c>
      <c r="J37" s="38" t="n">
        <v>0</v>
      </c>
      <c r="K37" s="38" t="n">
        <v>0</v>
      </c>
      <c r="L37" s="38" t="n">
        <v>1366.91</v>
      </c>
      <c r="M37" s="38" t="n">
        <v>0</v>
      </c>
      <c r="N37" s="38" t="n">
        <v>951.34</v>
      </c>
      <c r="O37" s="38" t="n">
        <v>0</v>
      </c>
      <c r="P37" s="38" t="n">
        <v>96.65</v>
      </c>
      <c r="Q37" s="38" t="n">
        <v>158.76</v>
      </c>
      <c r="R37" s="38" t="n">
        <v>272.29</v>
      </c>
      <c r="S37" s="38" t="n">
        <v>704.12</v>
      </c>
      <c r="T37" s="38" t="n">
        <v>25.42</v>
      </c>
      <c r="U37" s="55" t="n">
        <v>5.41</v>
      </c>
      <c r="V37" s="38" t="n">
        <v>45.02</v>
      </c>
      <c r="W37" s="38" t="n">
        <v>75.85</v>
      </c>
      <c r="X37" s="38" t="n">
        <v>5897.98</v>
      </c>
      <c r="Y37" s="38" t="n">
        <v>5897.98</v>
      </c>
      <c r="Z37" s="55" t="n">
        <v>0</v>
      </c>
    </row>
    <row r="38" customFormat="false" ht="15" hidden="false" customHeight="false" outlineLevel="0" collapsed="false">
      <c r="A38" s="45" t="s">
        <v>43</v>
      </c>
      <c r="B38" s="45" t="s">
        <v>336</v>
      </c>
      <c r="C38" s="47" t="n">
        <v>43.5</v>
      </c>
      <c r="D38" s="45" t="s">
        <v>30</v>
      </c>
      <c r="E38" s="45" t="s">
        <v>335</v>
      </c>
      <c r="F38" s="46" t="n">
        <v>1955.04</v>
      </c>
      <c r="G38" s="46" t="n">
        <v>350.61</v>
      </c>
      <c r="H38" s="46" t="n">
        <v>23.27</v>
      </c>
      <c r="I38" s="46" t="n">
        <v>76.58</v>
      </c>
      <c r="J38" s="46" t="n">
        <v>0</v>
      </c>
      <c r="K38" s="46" t="n">
        <v>0</v>
      </c>
      <c r="L38" s="46" t="n">
        <v>1375.09</v>
      </c>
      <c r="M38" s="46" t="n">
        <v>0</v>
      </c>
      <c r="N38" s="46" t="n">
        <v>989.55</v>
      </c>
      <c r="O38" s="46" t="n">
        <v>0</v>
      </c>
      <c r="P38" s="46" t="n">
        <v>99.23</v>
      </c>
      <c r="Q38" s="46" t="n">
        <v>164.55</v>
      </c>
      <c r="R38" s="46" t="n">
        <v>285.61</v>
      </c>
      <c r="S38" s="46" t="n">
        <v>667.35</v>
      </c>
      <c r="T38" s="46" t="n">
        <v>23.45</v>
      </c>
      <c r="U38" s="56" t="n">
        <v>5.41</v>
      </c>
      <c r="V38" s="46" t="n">
        <v>45.02</v>
      </c>
      <c r="W38" s="46" t="n">
        <v>73.88</v>
      </c>
      <c r="X38" s="46" t="n">
        <v>6060.77</v>
      </c>
      <c r="Y38" s="46" t="n">
        <v>6060.77</v>
      </c>
      <c r="Z38" s="56" t="n">
        <v>0</v>
      </c>
    </row>
    <row r="39" customFormat="false" ht="15" hidden="false" customHeight="false" outlineLevel="0" collapsed="false">
      <c r="A39" s="37" t="s">
        <v>26</v>
      </c>
      <c r="B39" s="37" t="s">
        <v>336</v>
      </c>
      <c r="C39" s="39" t="n">
        <v>30.6</v>
      </c>
      <c r="D39" s="37" t="s">
        <v>30</v>
      </c>
      <c r="E39" s="37" t="s">
        <v>335</v>
      </c>
      <c r="F39" s="38" t="n">
        <v>1381.03</v>
      </c>
      <c r="G39" s="38" t="n">
        <v>517.19</v>
      </c>
      <c r="H39" s="38" t="n">
        <v>24.83</v>
      </c>
      <c r="I39" s="38" t="n">
        <v>141.22</v>
      </c>
      <c r="J39" s="38" t="n">
        <v>0</v>
      </c>
      <c r="K39" s="38" t="n">
        <v>0</v>
      </c>
      <c r="L39" s="38" t="n">
        <v>1491.55</v>
      </c>
      <c r="M39" s="38" t="n">
        <v>0</v>
      </c>
      <c r="N39" s="38" t="n">
        <v>1198.73</v>
      </c>
      <c r="O39" s="38" t="n">
        <v>0</v>
      </c>
      <c r="P39" s="38" t="n">
        <v>115.65</v>
      </c>
      <c r="Q39" s="38" t="n">
        <v>197.25</v>
      </c>
      <c r="R39" s="38" t="n">
        <v>328.61</v>
      </c>
      <c r="S39" s="38" t="n">
        <v>720.46</v>
      </c>
      <c r="T39" s="38" t="n">
        <v>29.35</v>
      </c>
      <c r="U39" s="55" t="n">
        <v>5.41</v>
      </c>
      <c r="V39" s="38" t="n">
        <v>45.02</v>
      </c>
      <c r="W39" s="38" t="n">
        <v>79.78</v>
      </c>
      <c r="X39" s="38" t="n">
        <v>6196.32</v>
      </c>
      <c r="Y39" s="38" t="n">
        <v>6196.32</v>
      </c>
      <c r="Z39" s="55" t="n">
        <v>0</v>
      </c>
    </row>
    <row r="40" customFormat="false" ht="15" hidden="false" customHeight="false" outlineLevel="0" collapsed="false">
      <c r="A40" s="45" t="s">
        <v>75</v>
      </c>
      <c r="B40" s="45" t="s">
        <v>336</v>
      </c>
      <c r="C40" s="47" t="n">
        <v>31.6</v>
      </c>
      <c r="D40" s="45" t="s">
        <v>30</v>
      </c>
      <c r="E40" s="45" t="s">
        <v>335</v>
      </c>
      <c r="F40" s="46" t="n">
        <v>1844.37</v>
      </c>
      <c r="G40" s="46" t="n">
        <v>337.41</v>
      </c>
      <c r="H40" s="46" t="n">
        <v>25.1</v>
      </c>
      <c r="I40" s="46" t="n">
        <v>106.5</v>
      </c>
      <c r="J40" s="46" t="n">
        <v>0</v>
      </c>
      <c r="K40" s="46" t="n">
        <v>0</v>
      </c>
      <c r="L40" s="46" t="n">
        <v>1504.92</v>
      </c>
      <c r="M40" s="46" t="n">
        <v>0</v>
      </c>
      <c r="N40" s="46" t="n">
        <v>1200.74</v>
      </c>
      <c r="O40" s="46" t="n">
        <v>0</v>
      </c>
      <c r="P40" s="46" t="n">
        <v>116.27</v>
      </c>
      <c r="Q40" s="46" t="n">
        <v>197.77</v>
      </c>
      <c r="R40" s="46" t="n">
        <v>324.33</v>
      </c>
      <c r="S40" s="46" t="n">
        <v>659</v>
      </c>
      <c r="T40" s="46" t="n">
        <v>23.34</v>
      </c>
      <c r="U40" s="56" t="n">
        <v>5.41</v>
      </c>
      <c r="V40" s="46" t="n">
        <v>45.02</v>
      </c>
      <c r="W40" s="46" t="n">
        <v>73.77</v>
      </c>
      <c r="X40" s="46" t="n">
        <v>6390.18</v>
      </c>
      <c r="Y40" s="46" t="n">
        <v>6390.18</v>
      </c>
      <c r="Z40" s="56" t="n">
        <v>0</v>
      </c>
    </row>
    <row r="41" customFormat="false" ht="15" hidden="false" customHeight="false" outlineLevel="0" collapsed="false">
      <c r="A41" s="37" t="s">
        <v>151</v>
      </c>
      <c r="B41" s="37" t="s">
        <v>336</v>
      </c>
      <c r="C41" s="39" t="n">
        <v>740</v>
      </c>
      <c r="D41" s="37" t="s">
        <v>334</v>
      </c>
      <c r="E41" s="37" t="s">
        <v>320</v>
      </c>
      <c r="F41" s="38" t="n">
        <v>1190.85</v>
      </c>
      <c r="G41" s="38" t="n">
        <v>973.25</v>
      </c>
      <c r="H41" s="38" t="n">
        <v>50.76</v>
      </c>
      <c r="I41" s="38" t="n">
        <v>0</v>
      </c>
      <c r="J41" s="38" t="n">
        <v>3.8</v>
      </c>
      <c r="K41" s="38" t="n">
        <v>0</v>
      </c>
      <c r="L41" s="38" t="n">
        <v>1679.24</v>
      </c>
      <c r="M41" s="38" t="n">
        <v>1426.22</v>
      </c>
      <c r="N41" s="38" t="n">
        <v>685.45</v>
      </c>
      <c r="O41" s="38" t="n">
        <v>21.75</v>
      </c>
      <c r="P41" s="38" t="n">
        <v>75.8</v>
      </c>
      <c r="Q41" s="38" t="n">
        <v>171.11</v>
      </c>
      <c r="R41" s="38" t="n">
        <v>91.89</v>
      </c>
      <c r="S41" s="38" t="n">
        <v>0</v>
      </c>
      <c r="T41" s="38" t="n">
        <v>26.7</v>
      </c>
      <c r="U41" s="55" t="n">
        <v>5.41</v>
      </c>
      <c r="V41" s="38" t="n">
        <v>28.55</v>
      </c>
      <c r="W41" s="38" t="n">
        <v>60.66</v>
      </c>
      <c r="X41" s="38" t="n">
        <v>6430.79</v>
      </c>
      <c r="Y41" s="38" t="n">
        <v>6430.79</v>
      </c>
      <c r="Z41" s="55" t="n">
        <v>0</v>
      </c>
    </row>
    <row r="42" customFormat="false" ht="15" hidden="false" customHeight="false" outlineLevel="0" collapsed="false">
      <c r="A42" s="45" t="s">
        <v>67</v>
      </c>
      <c r="B42" s="45" t="s">
        <v>336</v>
      </c>
      <c r="C42" s="47" t="n">
        <v>36.1</v>
      </c>
      <c r="D42" s="45" t="s">
        <v>30</v>
      </c>
      <c r="E42" s="45" t="s">
        <v>335</v>
      </c>
      <c r="F42" s="46" t="n">
        <v>2116.73</v>
      </c>
      <c r="G42" s="46" t="n">
        <v>385.14</v>
      </c>
      <c r="H42" s="46" t="n">
        <v>24.57</v>
      </c>
      <c r="I42" s="46" t="n">
        <v>87.08</v>
      </c>
      <c r="J42" s="46" t="n">
        <v>0</v>
      </c>
      <c r="K42" s="46" t="n">
        <v>0</v>
      </c>
      <c r="L42" s="46" t="n">
        <v>1463.69</v>
      </c>
      <c r="M42" s="46" t="n">
        <v>0</v>
      </c>
      <c r="N42" s="46" t="n">
        <v>1120.86</v>
      </c>
      <c r="O42" s="46" t="n">
        <v>0</v>
      </c>
      <c r="P42" s="46" t="n">
        <v>110.13</v>
      </c>
      <c r="Q42" s="46" t="n">
        <v>185.35</v>
      </c>
      <c r="R42" s="46" t="n">
        <v>307.56</v>
      </c>
      <c r="S42" s="46" t="n">
        <v>659.68</v>
      </c>
      <c r="T42" s="46" t="n">
        <v>13.18</v>
      </c>
      <c r="U42" s="56" t="n">
        <v>5.41</v>
      </c>
      <c r="V42" s="46" t="n">
        <v>45.02</v>
      </c>
      <c r="W42" s="46" t="n">
        <v>63.61</v>
      </c>
      <c r="X42" s="46" t="n">
        <v>6524.4</v>
      </c>
      <c r="Y42" s="46" t="n">
        <v>6524.4</v>
      </c>
      <c r="Z42" s="56" t="n">
        <v>0</v>
      </c>
    </row>
    <row r="43" customFormat="false" ht="15" hidden="false" customHeight="false" outlineLevel="0" collapsed="false">
      <c r="A43" s="37" t="s">
        <v>39</v>
      </c>
      <c r="B43" s="37" t="s">
        <v>336</v>
      </c>
      <c r="C43" s="39" t="n">
        <v>12.9</v>
      </c>
      <c r="D43" s="37" t="s">
        <v>30</v>
      </c>
      <c r="E43" s="37" t="s">
        <v>335</v>
      </c>
      <c r="F43" s="38" t="n">
        <v>1406.59</v>
      </c>
      <c r="G43" s="38" t="n">
        <v>526.77</v>
      </c>
      <c r="H43" s="38" t="n">
        <v>24.83</v>
      </c>
      <c r="I43" s="38" t="n">
        <v>136.28</v>
      </c>
      <c r="J43" s="38" t="n">
        <v>0</v>
      </c>
      <c r="K43" s="38" t="n">
        <v>0</v>
      </c>
      <c r="L43" s="38" t="n">
        <v>1493.03</v>
      </c>
      <c r="M43" s="38" t="n">
        <v>0</v>
      </c>
      <c r="N43" s="38" t="n">
        <v>1206.59</v>
      </c>
      <c r="O43" s="38" t="n">
        <v>0</v>
      </c>
      <c r="P43" s="38" t="n">
        <v>116.16</v>
      </c>
      <c r="Q43" s="38" t="n">
        <v>198.42</v>
      </c>
      <c r="R43" s="38" t="n">
        <v>773.16</v>
      </c>
      <c r="S43" s="38" t="n">
        <v>672.96</v>
      </c>
      <c r="T43" s="38" t="n">
        <v>10.83</v>
      </c>
      <c r="U43" s="55" t="n">
        <v>5.41</v>
      </c>
      <c r="V43" s="38" t="n">
        <v>45.02</v>
      </c>
      <c r="W43" s="38" t="n">
        <v>61.26</v>
      </c>
      <c r="X43" s="38" t="n">
        <v>6616.06</v>
      </c>
      <c r="Y43" s="38" t="n">
        <v>6616.06</v>
      </c>
      <c r="Z43" s="55" t="n">
        <v>0</v>
      </c>
    </row>
    <row r="44" customFormat="false" ht="15" hidden="false" customHeight="false" outlineLevel="0" collapsed="false">
      <c r="A44" s="45" t="s">
        <v>46</v>
      </c>
      <c r="B44" s="45" t="s">
        <v>336</v>
      </c>
      <c r="C44" s="47" t="n">
        <v>9.8</v>
      </c>
      <c r="D44" s="45" t="s">
        <v>30</v>
      </c>
      <c r="E44" s="45" t="s">
        <v>335</v>
      </c>
      <c r="F44" s="46" t="n">
        <v>1756.38</v>
      </c>
      <c r="G44" s="46" t="n">
        <v>281.65</v>
      </c>
      <c r="H44" s="46" t="n">
        <v>23.27</v>
      </c>
      <c r="I44" s="46" t="n">
        <v>94.17</v>
      </c>
      <c r="J44" s="46" t="n">
        <v>0</v>
      </c>
      <c r="K44" s="46" t="n">
        <v>0</v>
      </c>
      <c r="L44" s="46" t="n">
        <v>1400.8</v>
      </c>
      <c r="M44" s="46" t="n">
        <v>0</v>
      </c>
      <c r="N44" s="46" t="n">
        <v>1118.24</v>
      </c>
      <c r="O44" s="46" t="n">
        <v>0</v>
      </c>
      <c r="P44" s="46" t="n">
        <v>107.65</v>
      </c>
      <c r="Q44" s="46" t="n">
        <v>183.89</v>
      </c>
      <c r="R44" s="46" t="n">
        <v>1014.78</v>
      </c>
      <c r="S44" s="46" t="n">
        <v>645.16</v>
      </c>
      <c r="T44" s="46" t="n">
        <v>19.93</v>
      </c>
      <c r="U44" s="56" t="n">
        <v>5.41</v>
      </c>
      <c r="V44" s="46" t="n">
        <v>45.02</v>
      </c>
      <c r="W44" s="46" t="n">
        <v>70.36</v>
      </c>
      <c r="X44" s="46" t="n">
        <v>6696.35</v>
      </c>
      <c r="Y44" s="46" t="n">
        <v>6696.35</v>
      </c>
      <c r="Z44" s="56" t="n">
        <v>0</v>
      </c>
    </row>
    <row r="45" customFormat="false" ht="15" hidden="false" customHeight="false" outlineLevel="0" collapsed="false">
      <c r="A45" s="37" t="s">
        <v>146</v>
      </c>
      <c r="B45" s="37" t="s">
        <v>336</v>
      </c>
      <c r="C45" s="39" t="n">
        <v>740</v>
      </c>
      <c r="D45" s="37" t="s">
        <v>334</v>
      </c>
      <c r="E45" s="37" t="s">
        <v>320</v>
      </c>
      <c r="F45" s="38" t="n">
        <v>1238.55</v>
      </c>
      <c r="G45" s="38" t="n">
        <v>1019.16</v>
      </c>
      <c r="H45" s="38" t="n">
        <v>52.5</v>
      </c>
      <c r="I45" s="38" t="n">
        <v>0</v>
      </c>
      <c r="J45" s="38" t="n">
        <v>3.97</v>
      </c>
      <c r="K45" s="38" t="n">
        <v>0</v>
      </c>
      <c r="L45" s="38" t="n">
        <v>1739.26</v>
      </c>
      <c r="M45" s="38" t="n">
        <v>1484.86</v>
      </c>
      <c r="N45" s="38" t="n">
        <v>713.63</v>
      </c>
      <c r="O45" s="38" t="n">
        <v>22.64</v>
      </c>
      <c r="P45" s="38" t="n">
        <v>78.91</v>
      </c>
      <c r="Q45" s="38" t="n">
        <v>178.15</v>
      </c>
      <c r="R45" s="38" t="n">
        <v>91.89</v>
      </c>
      <c r="S45" s="38" t="n">
        <v>0</v>
      </c>
      <c r="T45" s="38" t="n">
        <v>39.72</v>
      </c>
      <c r="U45" s="55" t="n">
        <v>5.41</v>
      </c>
      <c r="V45" s="38" t="n">
        <v>28.55</v>
      </c>
      <c r="W45" s="38" t="n">
        <v>73.68</v>
      </c>
      <c r="X45" s="38" t="n">
        <v>6697.2</v>
      </c>
      <c r="Y45" s="38" t="n">
        <v>6697.2</v>
      </c>
      <c r="Z45" s="55" t="n">
        <v>0</v>
      </c>
    </row>
    <row r="46" customFormat="false" ht="15" hidden="false" customHeight="false" outlineLevel="0" collapsed="false">
      <c r="A46" s="45" t="s">
        <v>50</v>
      </c>
      <c r="B46" s="45" t="s">
        <v>336</v>
      </c>
      <c r="C46" s="47" t="n">
        <v>17.1</v>
      </c>
      <c r="D46" s="45" t="s">
        <v>334</v>
      </c>
      <c r="E46" s="45" t="s">
        <v>335</v>
      </c>
      <c r="F46" s="46" t="n">
        <v>1631.93</v>
      </c>
      <c r="G46" s="46" t="n">
        <v>550.67</v>
      </c>
      <c r="H46" s="46" t="n">
        <v>25.57</v>
      </c>
      <c r="I46" s="46" t="n">
        <v>0</v>
      </c>
      <c r="J46" s="46" t="n">
        <v>1</v>
      </c>
      <c r="K46" s="46" t="n">
        <v>0</v>
      </c>
      <c r="L46" s="46" t="n">
        <v>1542.99</v>
      </c>
      <c r="M46" s="46" t="n">
        <v>0</v>
      </c>
      <c r="N46" s="46" t="n">
        <v>1243.28</v>
      </c>
      <c r="O46" s="46" t="n">
        <v>0</v>
      </c>
      <c r="P46" s="46" t="n">
        <v>119.69</v>
      </c>
      <c r="Q46" s="46" t="n">
        <v>386.73</v>
      </c>
      <c r="R46" s="46" t="n">
        <v>579.87</v>
      </c>
      <c r="S46" s="46" t="n">
        <v>667.68</v>
      </c>
      <c r="T46" s="46" t="n">
        <v>27.07</v>
      </c>
      <c r="U46" s="56" t="n">
        <v>5.41</v>
      </c>
      <c r="V46" s="46" t="n">
        <v>45.02</v>
      </c>
      <c r="W46" s="46" t="n">
        <v>77.5</v>
      </c>
      <c r="X46" s="46" t="n">
        <v>6826.91</v>
      </c>
      <c r="Y46" s="46" t="n">
        <v>6826.91</v>
      </c>
      <c r="Z46" s="56" t="n">
        <v>0</v>
      </c>
    </row>
    <row r="47" customFormat="false" ht="15" hidden="false" customHeight="false" outlineLevel="0" collapsed="false">
      <c r="A47" s="37" t="s">
        <v>55</v>
      </c>
      <c r="B47" s="37" t="s">
        <v>336</v>
      </c>
      <c r="C47" s="39" t="n">
        <v>12.2</v>
      </c>
      <c r="D47" s="37" t="s">
        <v>30</v>
      </c>
      <c r="E47" s="37" t="s">
        <v>335</v>
      </c>
      <c r="F47" s="38" t="n">
        <v>1876.48</v>
      </c>
      <c r="G47" s="38" t="n">
        <v>375.55</v>
      </c>
      <c r="H47" s="38" t="n">
        <v>23.4</v>
      </c>
      <c r="I47" s="38" t="n">
        <v>145.54</v>
      </c>
      <c r="J47" s="38" t="n">
        <v>0</v>
      </c>
      <c r="K47" s="38" t="n">
        <v>0</v>
      </c>
      <c r="L47" s="38" t="n">
        <v>1408.29</v>
      </c>
      <c r="M47" s="38" t="n">
        <v>0</v>
      </c>
      <c r="N47" s="38" t="n">
        <v>1125.42</v>
      </c>
      <c r="O47" s="38" t="n">
        <v>0</v>
      </c>
      <c r="P47" s="38" t="n">
        <v>108.34</v>
      </c>
      <c r="Q47" s="38" t="n">
        <v>367.58</v>
      </c>
      <c r="R47" s="38" t="n">
        <v>811.82</v>
      </c>
      <c r="S47" s="38" t="n">
        <v>661.23</v>
      </c>
      <c r="T47" s="38" t="n">
        <v>15.11</v>
      </c>
      <c r="U47" s="55" t="n">
        <v>5.41</v>
      </c>
      <c r="V47" s="38" t="n">
        <v>45.02</v>
      </c>
      <c r="W47" s="38" t="n">
        <v>65.54</v>
      </c>
      <c r="X47" s="38" t="n">
        <v>6969.18</v>
      </c>
      <c r="Y47" s="38" t="n">
        <v>6969.18</v>
      </c>
      <c r="Z47" s="55" t="n">
        <v>0</v>
      </c>
    </row>
    <row r="48" customFormat="false" ht="15" hidden="false" customHeight="false" outlineLevel="0" collapsed="false">
      <c r="A48" s="45" t="s">
        <v>155</v>
      </c>
      <c r="B48" s="45" t="s">
        <v>336</v>
      </c>
      <c r="C48" s="47" t="n">
        <v>740</v>
      </c>
      <c r="D48" s="45" t="s">
        <v>334</v>
      </c>
      <c r="E48" s="45" t="s">
        <v>320</v>
      </c>
      <c r="F48" s="46" t="n">
        <v>1803.35</v>
      </c>
      <c r="G48" s="46" t="n">
        <v>786.08</v>
      </c>
      <c r="H48" s="46" t="n">
        <v>51.38</v>
      </c>
      <c r="I48" s="46" t="n">
        <v>0</v>
      </c>
      <c r="J48" s="46" t="n">
        <v>1.79</v>
      </c>
      <c r="K48" s="46" t="n">
        <v>0</v>
      </c>
      <c r="L48" s="46" t="n">
        <v>1700.29</v>
      </c>
      <c r="M48" s="46" t="n">
        <v>1464.35</v>
      </c>
      <c r="N48" s="46" t="n">
        <v>705.7</v>
      </c>
      <c r="O48" s="46" t="n">
        <v>22.84</v>
      </c>
      <c r="P48" s="46" t="n">
        <v>79.04</v>
      </c>
      <c r="Q48" s="46" t="n">
        <v>196.85</v>
      </c>
      <c r="R48" s="46" t="n">
        <v>91.89</v>
      </c>
      <c r="S48" s="46" t="n">
        <v>0</v>
      </c>
      <c r="T48" s="46" t="n">
        <v>65.35</v>
      </c>
      <c r="U48" s="56" t="n">
        <v>5.41</v>
      </c>
      <c r="V48" s="46" t="n">
        <v>28.55</v>
      </c>
      <c r="W48" s="46" t="n">
        <v>99.31</v>
      </c>
      <c r="X48" s="46" t="n">
        <v>7002.88</v>
      </c>
      <c r="Y48" s="46" t="n">
        <v>7002.88</v>
      </c>
      <c r="Z48" s="56" t="n">
        <v>0</v>
      </c>
    </row>
    <row r="49" customFormat="false" ht="15" hidden="false" customHeight="false" outlineLevel="0" collapsed="false">
      <c r="A49" s="37" t="s">
        <v>71</v>
      </c>
      <c r="B49" s="37" t="s">
        <v>336</v>
      </c>
      <c r="C49" s="39" t="n">
        <v>11.9</v>
      </c>
      <c r="D49" s="37" t="s">
        <v>30</v>
      </c>
      <c r="E49" s="37" t="s">
        <v>335</v>
      </c>
      <c r="F49" s="38" t="n">
        <v>1943.21</v>
      </c>
      <c r="G49" s="38" t="n">
        <v>431.46</v>
      </c>
      <c r="H49" s="38" t="n">
        <v>23.27</v>
      </c>
      <c r="I49" s="38" t="n">
        <v>136.35</v>
      </c>
      <c r="J49" s="38" t="n">
        <v>0</v>
      </c>
      <c r="K49" s="38" t="n">
        <v>0</v>
      </c>
      <c r="L49" s="38" t="n">
        <v>1400.8</v>
      </c>
      <c r="M49" s="38" t="n">
        <v>0</v>
      </c>
      <c r="N49" s="38" t="n">
        <v>1118.24</v>
      </c>
      <c r="O49" s="38" t="n">
        <v>0</v>
      </c>
      <c r="P49" s="38" t="n">
        <v>107.65</v>
      </c>
      <c r="Q49" s="38" t="n">
        <v>365.23</v>
      </c>
      <c r="R49" s="38" t="n">
        <v>832.64</v>
      </c>
      <c r="S49" s="38" t="n">
        <v>655.2</v>
      </c>
      <c r="T49" s="38" t="n">
        <v>10.6</v>
      </c>
      <c r="U49" s="55" t="n">
        <v>5.41</v>
      </c>
      <c r="V49" s="38" t="n">
        <v>45.02</v>
      </c>
      <c r="W49" s="38" t="n">
        <v>61.03</v>
      </c>
      <c r="X49" s="38" t="n">
        <v>7075.08</v>
      </c>
      <c r="Y49" s="38" t="n">
        <v>7075.08</v>
      </c>
      <c r="Z49" s="55" t="n">
        <v>0</v>
      </c>
    </row>
    <row r="50" customFormat="false" ht="15" hidden="false" customHeight="false" outlineLevel="0" collapsed="false">
      <c r="A50" s="45" t="s">
        <v>63</v>
      </c>
      <c r="B50" s="45" t="s">
        <v>336</v>
      </c>
      <c r="C50" s="47" t="n">
        <v>7.7</v>
      </c>
      <c r="D50" s="45" t="s">
        <v>30</v>
      </c>
      <c r="E50" s="45" t="s">
        <v>335</v>
      </c>
      <c r="F50" s="46" t="n">
        <v>1595.02</v>
      </c>
      <c r="G50" s="46" t="n">
        <v>393.82</v>
      </c>
      <c r="H50" s="46" t="n">
        <v>23.53</v>
      </c>
      <c r="I50" s="46" t="n">
        <v>142.14</v>
      </c>
      <c r="J50" s="46" t="n">
        <v>0</v>
      </c>
      <c r="K50" s="46" t="n">
        <v>0</v>
      </c>
      <c r="L50" s="46" t="n">
        <v>1415.82</v>
      </c>
      <c r="M50" s="46" t="n">
        <v>0</v>
      </c>
      <c r="N50" s="46" t="n">
        <v>1132.64</v>
      </c>
      <c r="O50" s="46" t="n">
        <v>0</v>
      </c>
      <c r="P50" s="46" t="n">
        <v>109.04</v>
      </c>
      <c r="Q50" s="46" t="n">
        <v>369.93</v>
      </c>
      <c r="R50" s="46" t="n">
        <v>1288.61</v>
      </c>
      <c r="S50" s="46" t="n">
        <v>651.33</v>
      </c>
      <c r="T50" s="46" t="n">
        <v>26.97</v>
      </c>
      <c r="U50" s="56" t="n">
        <v>5.41</v>
      </c>
      <c r="V50" s="46" t="n">
        <v>45.02</v>
      </c>
      <c r="W50" s="46" t="n">
        <v>77.4</v>
      </c>
      <c r="X50" s="46" t="n">
        <v>7199.28</v>
      </c>
      <c r="Y50" s="46" t="n">
        <v>7199.28</v>
      </c>
      <c r="Z50" s="56" t="n">
        <v>0</v>
      </c>
    </row>
    <row r="51" customFormat="false" ht="15" hidden="false" customHeight="false" outlineLevel="0" collapsed="false">
      <c r="A51" s="37" t="s">
        <v>79</v>
      </c>
      <c r="B51" s="37" t="s">
        <v>336</v>
      </c>
      <c r="C51" s="39" t="n">
        <v>6.5</v>
      </c>
      <c r="D51" s="37" t="s">
        <v>30</v>
      </c>
      <c r="E51" s="37" t="s">
        <v>335</v>
      </c>
      <c r="F51" s="38" t="n">
        <v>1960.92</v>
      </c>
      <c r="G51" s="38" t="n">
        <v>317.24</v>
      </c>
      <c r="H51" s="38" t="n">
        <v>24.04</v>
      </c>
      <c r="I51" s="38" t="n">
        <v>96.34</v>
      </c>
      <c r="J51" s="38" t="n">
        <v>0</v>
      </c>
      <c r="K51" s="38" t="n">
        <v>0</v>
      </c>
      <c r="L51" s="38" t="n">
        <v>1446.29</v>
      </c>
      <c r="M51" s="38" t="n">
        <v>0</v>
      </c>
      <c r="N51" s="38" t="n">
        <v>1161.84</v>
      </c>
      <c r="O51" s="38" t="n">
        <v>0</v>
      </c>
      <c r="P51" s="38" t="n">
        <v>111.85</v>
      </c>
      <c r="Q51" s="38" t="n">
        <v>191.06</v>
      </c>
      <c r="R51" s="38" t="n">
        <v>1531.74</v>
      </c>
      <c r="S51" s="38" t="n">
        <v>670.31</v>
      </c>
      <c r="T51" s="38" t="n">
        <v>25.85</v>
      </c>
      <c r="U51" s="55" t="n">
        <v>5.41</v>
      </c>
      <c r="V51" s="38" t="n">
        <v>45.02</v>
      </c>
      <c r="W51" s="38" t="n">
        <v>76.28</v>
      </c>
      <c r="X51" s="38" t="n">
        <v>7587.92</v>
      </c>
      <c r="Y51" s="38" t="n">
        <v>7587.92</v>
      </c>
      <c r="Z51" s="55" t="n">
        <v>0</v>
      </c>
    </row>
    <row r="52" customFormat="false" ht="15" hidden="false" customHeight="false" outlineLevel="0" collapsed="false">
      <c r="A52" s="45" t="s">
        <v>86</v>
      </c>
      <c r="B52" s="45" t="s">
        <v>336</v>
      </c>
      <c r="C52" s="47" t="n">
        <v>10.4</v>
      </c>
      <c r="D52" s="45" t="s">
        <v>30</v>
      </c>
      <c r="E52" s="45" t="s">
        <v>335</v>
      </c>
      <c r="F52" s="46" t="n">
        <v>2096.12</v>
      </c>
      <c r="G52" s="46" t="n">
        <v>426.71</v>
      </c>
      <c r="H52" s="46" t="n">
        <v>24.97</v>
      </c>
      <c r="I52" s="46" t="n">
        <v>154.47</v>
      </c>
      <c r="J52" s="46" t="n">
        <v>0</v>
      </c>
      <c r="K52" s="46" t="n">
        <v>0</v>
      </c>
      <c r="L52" s="46" t="n">
        <v>1500.94</v>
      </c>
      <c r="M52" s="46" t="n">
        <v>0</v>
      </c>
      <c r="N52" s="46" t="n">
        <v>1214.16</v>
      </c>
      <c r="O52" s="46" t="n">
        <v>0</v>
      </c>
      <c r="P52" s="46" t="n">
        <v>116.89</v>
      </c>
      <c r="Q52" s="46" t="n">
        <v>396.56</v>
      </c>
      <c r="R52" s="46" t="n">
        <v>955.09</v>
      </c>
      <c r="S52" s="46" t="n">
        <v>651.43</v>
      </c>
      <c r="T52" s="46" t="n">
        <v>7.09</v>
      </c>
      <c r="U52" s="56" t="n">
        <v>5.41</v>
      </c>
      <c r="V52" s="46" t="n">
        <v>45.02</v>
      </c>
      <c r="W52" s="46" t="n">
        <v>57.52</v>
      </c>
      <c r="X52" s="46" t="n">
        <v>7594.85</v>
      </c>
      <c r="Y52" s="46" t="n">
        <v>7594.85</v>
      </c>
      <c r="Z52" s="56" t="n">
        <v>0</v>
      </c>
    </row>
    <row r="53" customFormat="false" ht="15" hidden="false" customHeight="false" outlineLevel="0" collapsed="false">
      <c r="A53" s="37" t="s">
        <v>83</v>
      </c>
      <c r="B53" s="37" t="s">
        <v>336</v>
      </c>
      <c r="C53" s="39" t="n">
        <v>7.5</v>
      </c>
      <c r="D53" s="37" t="s">
        <v>30</v>
      </c>
      <c r="E53" s="37" t="s">
        <v>335</v>
      </c>
      <c r="F53" s="38" t="n">
        <v>1975.26</v>
      </c>
      <c r="G53" s="38" t="n">
        <v>441.83</v>
      </c>
      <c r="H53" s="38" t="n">
        <v>23.92</v>
      </c>
      <c r="I53" s="38" t="n">
        <v>148.02</v>
      </c>
      <c r="J53" s="38" t="n">
        <v>0</v>
      </c>
      <c r="K53" s="38" t="n">
        <v>0</v>
      </c>
      <c r="L53" s="38" t="n">
        <v>1438.62</v>
      </c>
      <c r="M53" s="38" t="n">
        <v>11.01</v>
      </c>
      <c r="N53" s="38" t="n">
        <v>1154.49</v>
      </c>
      <c r="O53" s="38" t="n">
        <v>0</v>
      </c>
      <c r="P53" s="38" t="n">
        <v>111.14</v>
      </c>
      <c r="Q53" s="38" t="n">
        <v>377.07</v>
      </c>
      <c r="R53" s="38" t="n">
        <v>1330.86</v>
      </c>
      <c r="S53" s="38" t="n">
        <v>646.12</v>
      </c>
      <c r="T53" s="38" t="n">
        <v>0</v>
      </c>
      <c r="U53" s="55" t="n">
        <v>5.41</v>
      </c>
      <c r="V53" s="38" t="n">
        <v>44.86</v>
      </c>
      <c r="W53" s="38" t="n">
        <v>50.27</v>
      </c>
      <c r="X53" s="38" t="n">
        <v>7708.62</v>
      </c>
      <c r="Y53" s="38" t="n">
        <v>7708.62</v>
      </c>
      <c r="Z53" s="55" t="n">
        <v>0</v>
      </c>
    </row>
    <row r="54" customFormat="false" ht="15" hidden="false" customHeight="false" outlineLevel="0" collapsed="false">
      <c r="A54" s="45" t="s">
        <v>94</v>
      </c>
      <c r="B54" s="45" t="s">
        <v>336</v>
      </c>
      <c r="C54" s="47" t="n">
        <v>10.7</v>
      </c>
      <c r="D54" s="45" t="s">
        <v>30</v>
      </c>
      <c r="E54" s="45" t="s">
        <v>335</v>
      </c>
      <c r="F54" s="46" t="n">
        <v>1867.67</v>
      </c>
      <c r="G54" s="46" t="n">
        <v>526.44</v>
      </c>
      <c r="H54" s="46" t="n">
        <v>26.59</v>
      </c>
      <c r="I54" s="46" t="n">
        <v>177.26</v>
      </c>
      <c r="J54" s="46" t="n">
        <v>0</v>
      </c>
      <c r="K54" s="46" t="n">
        <v>0</v>
      </c>
      <c r="L54" s="46" t="n">
        <v>1598.32</v>
      </c>
      <c r="M54" s="46" t="n">
        <v>0</v>
      </c>
      <c r="N54" s="46" t="n">
        <v>1307.29</v>
      </c>
      <c r="O54" s="46" t="n">
        <v>0</v>
      </c>
      <c r="P54" s="46" t="n">
        <v>125.85</v>
      </c>
      <c r="Q54" s="46" t="n">
        <v>426.98</v>
      </c>
      <c r="R54" s="46" t="n">
        <v>927.8</v>
      </c>
      <c r="S54" s="46" t="n">
        <v>677.67</v>
      </c>
      <c r="T54" s="46" t="n">
        <v>11.18</v>
      </c>
      <c r="U54" s="56" t="n">
        <v>5.41</v>
      </c>
      <c r="V54" s="46" t="n">
        <v>45.02</v>
      </c>
      <c r="W54" s="46" t="n">
        <v>61.61</v>
      </c>
      <c r="X54" s="46" t="n">
        <v>7723.47</v>
      </c>
      <c r="Y54" s="46" t="n">
        <v>7723.47</v>
      </c>
      <c r="Z54" s="56" t="n">
        <v>0</v>
      </c>
    </row>
    <row r="55" customFormat="false" ht="15" hidden="false" customHeight="false" outlineLevel="0" collapsed="false">
      <c r="A55" s="37" t="s">
        <v>59</v>
      </c>
      <c r="B55" s="37" t="s">
        <v>336</v>
      </c>
      <c r="C55" s="39" t="n">
        <v>8.8</v>
      </c>
      <c r="D55" s="37" t="s">
        <v>30</v>
      </c>
      <c r="E55" s="37" t="s">
        <v>335</v>
      </c>
      <c r="F55" s="38" t="n">
        <v>1612.95</v>
      </c>
      <c r="G55" s="38" t="n">
        <v>610.41</v>
      </c>
      <c r="H55" s="38" t="n">
        <v>29.6</v>
      </c>
      <c r="I55" s="38" t="n">
        <v>153.29</v>
      </c>
      <c r="J55" s="38" t="n">
        <v>0</v>
      </c>
      <c r="K55" s="38" t="n">
        <v>0</v>
      </c>
      <c r="L55" s="38" t="n">
        <v>1557.19</v>
      </c>
      <c r="M55" s="38" t="n">
        <v>1082.29</v>
      </c>
      <c r="N55" s="38" t="n">
        <v>1267.98</v>
      </c>
      <c r="O55" s="38" t="n">
        <v>20.52</v>
      </c>
      <c r="P55" s="38" t="n">
        <v>122.07</v>
      </c>
      <c r="Q55" s="38" t="n">
        <v>208.52</v>
      </c>
      <c r="R55" s="38" t="n">
        <v>1127.53</v>
      </c>
      <c r="S55" s="38" t="n">
        <v>129.76</v>
      </c>
      <c r="T55" s="38" t="n">
        <v>21.4</v>
      </c>
      <c r="U55" s="55" t="n">
        <v>5.41</v>
      </c>
      <c r="V55" s="38" t="n">
        <v>31.32</v>
      </c>
      <c r="W55" s="38" t="n">
        <v>58.13</v>
      </c>
      <c r="X55" s="38" t="n">
        <v>7980.24</v>
      </c>
      <c r="Y55" s="38" t="n">
        <v>7980.24</v>
      </c>
      <c r="Z55" s="55" t="n">
        <v>0</v>
      </c>
    </row>
    <row r="56" customFormat="false" ht="15" hidden="false" customHeight="false" outlineLevel="0" collapsed="false">
      <c r="A56" s="45" t="s">
        <v>90</v>
      </c>
      <c r="B56" s="45" t="s">
        <v>336</v>
      </c>
      <c r="C56" s="47" t="n">
        <v>6.1</v>
      </c>
      <c r="D56" s="45" t="s">
        <v>30</v>
      </c>
      <c r="E56" s="45" t="s">
        <v>335</v>
      </c>
      <c r="F56" s="46" t="n">
        <v>1712.24</v>
      </c>
      <c r="G56" s="46" t="n">
        <v>477.84</v>
      </c>
      <c r="H56" s="46" t="n">
        <v>25.5</v>
      </c>
      <c r="I56" s="46" t="n">
        <v>161.66</v>
      </c>
      <c r="J56" s="46" t="n">
        <v>0</v>
      </c>
      <c r="K56" s="46" t="n">
        <v>0</v>
      </c>
      <c r="L56" s="46" t="n">
        <v>1532.89</v>
      </c>
      <c r="M56" s="46" t="n">
        <v>0</v>
      </c>
      <c r="N56" s="46" t="n">
        <v>1244.74</v>
      </c>
      <c r="O56" s="46" t="n">
        <v>0</v>
      </c>
      <c r="P56" s="46" t="n">
        <v>119.83</v>
      </c>
      <c r="Q56" s="46" t="n">
        <v>406.55</v>
      </c>
      <c r="R56" s="46" t="n">
        <v>1640.05</v>
      </c>
      <c r="S56" s="46" t="n">
        <v>647.34</v>
      </c>
      <c r="T56" s="46" t="n">
        <v>27.56</v>
      </c>
      <c r="U56" s="56" t="n">
        <v>5.41</v>
      </c>
      <c r="V56" s="46" t="n">
        <v>45.02</v>
      </c>
      <c r="W56" s="46" t="n">
        <v>77.99</v>
      </c>
      <c r="X56" s="46" t="n">
        <v>8046.63</v>
      </c>
      <c r="Y56" s="46" t="n">
        <v>8046.63</v>
      </c>
      <c r="Z56" s="56" t="n">
        <v>0</v>
      </c>
    </row>
    <row r="57" customFormat="false" ht="15" hidden="false" customHeight="false" outlineLevel="0" collapsed="false">
      <c r="A57" s="37" t="s">
        <v>110</v>
      </c>
      <c r="B57" s="37" t="s">
        <v>336</v>
      </c>
      <c r="C57" s="39" t="n">
        <v>4.9</v>
      </c>
      <c r="D57" s="37" t="s">
        <v>30</v>
      </c>
      <c r="E57" s="37" t="s">
        <v>335</v>
      </c>
      <c r="F57" s="38" t="n">
        <v>2055.2</v>
      </c>
      <c r="G57" s="38" t="n">
        <v>516.78</v>
      </c>
      <c r="H57" s="38" t="n">
        <v>25.23</v>
      </c>
      <c r="I57" s="38" t="n">
        <v>157.15</v>
      </c>
      <c r="J57" s="38" t="n">
        <v>0</v>
      </c>
      <c r="K57" s="38" t="n">
        <v>0</v>
      </c>
      <c r="L57" s="38" t="n">
        <v>1516.85</v>
      </c>
      <c r="M57" s="38" t="n">
        <v>0</v>
      </c>
      <c r="N57" s="38" t="n">
        <v>1229.39</v>
      </c>
      <c r="O57" s="38" t="n">
        <v>0</v>
      </c>
      <c r="P57" s="38" t="n">
        <v>118.35</v>
      </c>
      <c r="Q57" s="38" t="n">
        <v>401.53</v>
      </c>
      <c r="R57" s="38" t="n">
        <v>2029.56</v>
      </c>
      <c r="S57" s="38" t="n">
        <v>651.72</v>
      </c>
      <c r="T57" s="38" t="n">
        <v>11.22</v>
      </c>
      <c r="U57" s="55" t="n">
        <v>5.41</v>
      </c>
      <c r="V57" s="38" t="n">
        <v>45.02</v>
      </c>
      <c r="W57" s="38" t="n">
        <v>61.65</v>
      </c>
      <c r="X57" s="38" t="n">
        <v>8763.42</v>
      </c>
      <c r="Y57" s="38" t="n">
        <v>8763.42</v>
      </c>
      <c r="Z57" s="55" t="n">
        <v>0</v>
      </c>
    </row>
    <row r="58" customFormat="false" ht="15" hidden="false" customHeight="false" outlineLevel="0" collapsed="false">
      <c r="A58" s="45" t="s">
        <v>102</v>
      </c>
      <c r="B58" s="45" t="s">
        <v>336</v>
      </c>
      <c r="C58" s="47" t="n">
        <v>4.5</v>
      </c>
      <c r="D58" s="45" t="s">
        <v>30</v>
      </c>
      <c r="E58" s="45" t="s">
        <v>335</v>
      </c>
      <c r="F58" s="46" t="n">
        <v>2082.83</v>
      </c>
      <c r="G58" s="46" t="n">
        <v>425.7</v>
      </c>
      <c r="H58" s="46" t="n">
        <v>25.37</v>
      </c>
      <c r="I58" s="46" t="n">
        <v>171.55</v>
      </c>
      <c r="J58" s="46" t="n">
        <v>0</v>
      </c>
      <c r="K58" s="46" t="n">
        <v>0</v>
      </c>
      <c r="L58" s="46" t="n">
        <v>1524.86</v>
      </c>
      <c r="M58" s="46" t="n">
        <v>0</v>
      </c>
      <c r="N58" s="46" t="n">
        <v>1237.05</v>
      </c>
      <c r="O58" s="46" t="n">
        <v>0</v>
      </c>
      <c r="P58" s="46" t="n">
        <v>119.09</v>
      </c>
      <c r="Q58" s="46" t="n">
        <v>404.04</v>
      </c>
      <c r="R58" s="46" t="n">
        <v>2194.12</v>
      </c>
      <c r="S58" s="46" t="n">
        <v>684.75</v>
      </c>
      <c r="T58" s="46" t="n">
        <v>12.03</v>
      </c>
      <c r="U58" s="56" t="n">
        <v>5.41</v>
      </c>
      <c r="V58" s="46" t="n">
        <v>45.02</v>
      </c>
      <c r="W58" s="46" t="n">
        <v>62.46</v>
      </c>
      <c r="X58" s="46" t="n">
        <v>8931.81</v>
      </c>
      <c r="Y58" s="46" t="n">
        <v>8931.81</v>
      </c>
      <c r="Z58" s="56" t="n">
        <v>0</v>
      </c>
    </row>
    <row r="59" customFormat="false" ht="15" hidden="false" customHeight="false" outlineLevel="0" collapsed="false">
      <c r="A59" s="37" t="s">
        <v>114</v>
      </c>
      <c r="B59" s="37" t="s">
        <v>336</v>
      </c>
      <c r="C59" s="39" t="n">
        <v>3.4</v>
      </c>
      <c r="D59" s="37" t="s">
        <v>30</v>
      </c>
      <c r="E59" s="37" t="s">
        <v>335</v>
      </c>
      <c r="F59" s="38" t="n">
        <v>1848.78</v>
      </c>
      <c r="G59" s="38" t="n">
        <v>872.47</v>
      </c>
      <c r="H59" s="38" t="n">
        <v>28.14</v>
      </c>
      <c r="I59" s="38" t="n">
        <v>164.74</v>
      </c>
      <c r="J59" s="38" t="n">
        <v>0</v>
      </c>
      <c r="K59" s="38" t="n">
        <v>0</v>
      </c>
      <c r="L59" s="38" t="n">
        <v>1691.38</v>
      </c>
      <c r="M59" s="38" t="n">
        <v>0</v>
      </c>
      <c r="N59" s="38" t="n">
        <v>1396.13</v>
      </c>
      <c r="O59" s="38" t="n">
        <v>0</v>
      </c>
      <c r="P59" s="38" t="n">
        <v>134.4</v>
      </c>
      <c r="Q59" s="38" t="n">
        <v>229.59</v>
      </c>
      <c r="R59" s="38" t="n">
        <v>2899.37</v>
      </c>
      <c r="S59" s="38" t="n">
        <v>692.9</v>
      </c>
      <c r="T59" s="38" t="n">
        <v>10.61</v>
      </c>
      <c r="U59" s="55" t="n">
        <v>5.41</v>
      </c>
      <c r="V59" s="38" t="n">
        <v>45.02</v>
      </c>
      <c r="W59" s="38" t="n">
        <v>61.04</v>
      </c>
      <c r="X59" s="38" t="n">
        <v>10018.97</v>
      </c>
      <c r="Y59" s="38" t="n">
        <v>10018.97</v>
      </c>
      <c r="Z59" s="55" t="n">
        <v>0</v>
      </c>
    </row>
    <row r="60" customFormat="false" ht="15" hidden="false" customHeight="false" outlineLevel="0" collapsed="false">
      <c r="A60" s="45" t="s">
        <v>98</v>
      </c>
      <c r="B60" s="45" t="s">
        <v>336</v>
      </c>
      <c r="C60" s="47" t="n">
        <v>2.6</v>
      </c>
      <c r="D60" s="45" t="s">
        <v>30</v>
      </c>
      <c r="E60" s="45" t="s">
        <v>320</v>
      </c>
      <c r="F60" s="46" t="n">
        <v>1438.05</v>
      </c>
      <c r="G60" s="46" t="n">
        <v>601.8</v>
      </c>
      <c r="H60" s="46" t="n">
        <v>40.03</v>
      </c>
      <c r="I60" s="46" t="n">
        <v>348.97</v>
      </c>
      <c r="J60" s="46" t="n">
        <v>0</v>
      </c>
      <c r="K60" s="46" t="n">
        <v>0</v>
      </c>
      <c r="L60" s="46" t="n">
        <v>1557.19</v>
      </c>
      <c r="M60" s="46" t="n">
        <v>1300.62</v>
      </c>
      <c r="N60" s="46" t="n">
        <v>1267.98</v>
      </c>
      <c r="O60" s="46" t="n">
        <v>45.77</v>
      </c>
      <c r="P60" s="46" t="n">
        <v>122.07</v>
      </c>
      <c r="Q60" s="46" t="n">
        <v>414.14</v>
      </c>
      <c r="R60" s="46" t="n">
        <v>3775.92</v>
      </c>
      <c r="S60" s="46" t="n">
        <v>0</v>
      </c>
      <c r="T60" s="46" t="n">
        <v>9.55</v>
      </c>
      <c r="U60" s="56" t="n">
        <v>5.41</v>
      </c>
      <c r="V60" s="46" t="n">
        <v>28.55</v>
      </c>
      <c r="W60" s="46" t="n">
        <v>43.51</v>
      </c>
      <c r="X60" s="46" t="n">
        <v>10956.06</v>
      </c>
      <c r="Y60" s="46" t="n">
        <v>10956.06</v>
      </c>
      <c r="Z60" s="56" t="n">
        <v>0</v>
      </c>
    </row>
    <row r="61" customFormat="false" ht="15" hidden="false" customHeight="false" outlineLevel="0" collapsed="false">
      <c r="A61" s="37" t="s">
        <v>106</v>
      </c>
      <c r="B61" s="37" t="s">
        <v>336</v>
      </c>
      <c r="C61" s="39" t="n">
        <v>2</v>
      </c>
      <c r="D61" s="37" t="s">
        <v>30</v>
      </c>
      <c r="E61" s="37" t="s">
        <v>320</v>
      </c>
      <c r="F61" s="38" t="n">
        <v>601.98</v>
      </c>
      <c r="G61" s="38" t="n">
        <v>1421.89</v>
      </c>
      <c r="H61" s="38" t="n">
        <v>37.76</v>
      </c>
      <c r="I61" s="38" t="n">
        <v>658.63</v>
      </c>
      <c r="J61" s="38" t="n">
        <v>0</v>
      </c>
      <c r="K61" s="38" t="n">
        <v>102.15</v>
      </c>
      <c r="L61" s="38" t="n">
        <v>1469.51</v>
      </c>
      <c r="M61" s="38" t="n">
        <v>1214.55</v>
      </c>
      <c r="N61" s="38" t="n">
        <v>1184.07</v>
      </c>
      <c r="O61" s="38" t="n">
        <v>42.74</v>
      </c>
      <c r="P61" s="38" t="n">
        <v>113.99</v>
      </c>
      <c r="Q61" s="38" t="n">
        <v>386.73</v>
      </c>
      <c r="R61" s="38" t="n">
        <v>5042.38</v>
      </c>
      <c r="S61" s="38" t="n">
        <v>0</v>
      </c>
      <c r="T61" s="38" t="n">
        <v>0.22</v>
      </c>
      <c r="U61" s="55" t="n">
        <v>5.41</v>
      </c>
      <c r="V61" s="38" t="n">
        <v>28.55</v>
      </c>
      <c r="W61" s="38" t="n">
        <v>34.18</v>
      </c>
      <c r="X61" s="38" t="n">
        <v>12310.57</v>
      </c>
      <c r="Y61" s="38" t="n">
        <v>12310.57</v>
      </c>
      <c r="Z61" s="55" t="n">
        <v>0</v>
      </c>
    </row>
    <row r="62" customFormat="false" ht="15" hidden="false" customHeight="false" outlineLevel="0" collapsed="false">
      <c r="A62" s="45" t="s">
        <v>118</v>
      </c>
      <c r="B62" s="45" t="s">
        <v>336</v>
      </c>
      <c r="C62" s="47" t="n">
        <v>2</v>
      </c>
      <c r="D62" s="45" t="s">
        <v>334</v>
      </c>
      <c r="E62" s="45" t="s">
        <v>335</v>
      </c>
      <c r="F62" s="46" t="n">
        <v>2237.75</v>
      </c>
      <c r="G62" s="46" t="n">
        <v>791.34</v>
      </c>
      <c r="H62" s="46" t="n">
        <v>31.61</v>
      </c>
      <c r="I62" s="46" t="n">
        <v>0</v>
      </c>
      <c r="J62" s="46" t="n">
        <v>1.43</v>
      </c>
      <c r="K62" s="46" t="n">
        <v>0</v>
      </c>
      <c r="L62" s="46" t="n">
        <v>1905.29</v>
      </c>
      <c r="M62" s="46" t="n">
        <v>0</v>
      </c>
      <c r="N62" s="46" t="n">
        <v>1589.14</v>
      </c>
      <c r="O62" s="46" t="n">
        <v>0</v>
      </c>
      <c r="P62" s="46" t="n">
        <v>152.99</v>
      </c>
      <c r="Q62" s="46" t="n">
        <v>494.32</v>
      </c>
      <c r="R62" s="46" t="n">
        <v>5073.89</v>
      </c>
      <c r="S62" s="46" t="n">
        <v>665.39</v>
      </c>
      <c r="T62" s="46" t="n">
        <v>14.12</v>
      </c>
      <c r="U62" s="56" t="n">
        <v>5.41</v>
      </c>
      <c r="V62" s="46" t="n">
        <v>45.02</v>
      </c>
      <c r="W62" s="46" t="n">
        <v>64.55</v>
      </c>
      <c r="X62" s="46" t="n">
        <v>13007.7</v>
      </c>
      <c r="Y62" s="46" t="n">
        <v>13007.7</v>
      </c>
      <c r="Z62" s="56" t="n">
        <v>0</v>
      </c>
    </row>
    <row r="63" customFormat="false" ht="15" hidden="false" customHeight="false" outlineLevel="0" collapsed="false">
      <c r="A63" s="37" t="s">
        <v>134</v>
      </c>
      <c r="B63" s="37" t="s">
        <v>336</v>
      </c>
      <c r="C63" s="39" t="n">
        <v>1.5</v>
      </c>
      <c r="D63" s="37" t="s">
        <v>30</v>
      </c>
      <c r="E63" s="37" t="s">
        <v>335</v>
      </c>
      <c r="F63" s="38" t="n">
        <v>2506.64</v>
      </c>
      <c r="G63" s="38" t="n">
        <v>590.95</v>
      </c>
      <c r="H63" s="38" t="n">
        <v>30.18</v>
      </c>
      <c r="I63" s="38" t="n">
        <v>222.74</v>
      </c>
      <c r="J63" s="38" t="n">
        <v>0</v>
      </c>
      <c r="K63" s="38" t="n">
        <v>0</v>
      </c>
      <c r="L63" s="38" t="n">
        <v>1814.56</v>
      </c>
      <c r="M63" s="38" t="n">
        <v>0</v>
      </c>
      <c r="N63" s="38" t="n">
        <v>1513.47</v>
      </c>
      <c r="O63" s="38" t="n">
        <v>0</v>
      </c>
      <c r="P63" s="38" t="n">
        <v>145.7</v>
      </c>
      <c r="Q63" s="38" t="n">
        <v>494.32</v>
      </c>
      <c r="R63" s="38" t="n">
        <v>6443.04</v>
      </c>
      <c r="S63" s="38" t="n">
        <v>647.01</v>
      </c>
      <c r="T63" s="38" t="n">
        <v>10.95</v>
      </c>
      <c r="U63" s="55" t="n">
        <v>5.41</v>
      </c>
      <c r="V63" s="38" t="n">
        <v>45.02</v>
      </c>
      <c r="W63" s="38" t="n">
        <v>61.38</v>
      </c>
      <c r="X63" s="38" t="n">
        <v>14469.98</v>
      </c>
      <c r="Y63" s="38" t="n">
        <v>14469.98</v>
      </c>
      <c r="Z63" s="55" t="n">
        <v>0</v>
      </c>
    </row>
    <row r="64" customFormat="false" ht="15" hidden="false" customHeight="false" outlineLevel="0" collapsed="false">
      <c r="A64" s="45" t="s">
        <v>122</v>
      </c>
      <c r="B64" s="45" t="s">
        <v>336</v>
      </c>
      <c r="C64" s="47" t="n">
        <v>1</v>
      </c>
      <c r="D64" s="45" t="s">
        <v>334</v>
      </c>
      <c r="E64" s="45" t="s">
        <v>335</v>
      </c>
      <c r="F64" s="46" t="n">
        <v>1990.75</v>
      </c>
      <c r="G64" s="46" t="n">
        <v>850.49</v>
      </c>
      <c r="H64" s="46" t="n">
        <v>29.77</v>
      </c>
      <c r="I64" s="46" t="n">
        <v>0</v>
      </c>
      <c r="J64" s="46" t="n">
        <v>1.3</v>
      </c>
      <c r="K64" s="46" t="n">
        <v>0</v>
      </c>
      <c r="L64" s="46" t="n">
        <v>1794.1</v>
      </c>
      <c r="M64" s="46" t="n">
        <v>0</v>
      </c>
      <c r="N64" s="46" t="n">
        <v>1483.25</v>
      </c>
      <c r="O64" s="46" t="n">
        <v>0</v>
      </c>
      <c r="P64" s="46" t="n">
        <v>142.79</v>
      </c>
      <c r="Q64" s="46" t="n">
        <v>461.38</v>
      </c>
      <c r="R64" s="46" t="n">
        <v>9781</v>
      </c>
      <c r="S64" s="46" t="n">
        <v>661.26</v>
      </c>
      <c r="T64" s="46" t="n">
        <v>14.88</v>
      </c>
      <c r="U64" s="56" t="n">
        <v>5.41</v>
      </c>
      <c r="V64" s="46" t="n">
        <v>45.02</v>
      </c>
      <c r="W64" s="46" t="n">
        <v>65.31</v>
      </c>
      <c r="X64" s="46" t="n">
        <v>17261.39</v>
      </c>
      <c r="Y64" s="46" t="n">
        <v>17261.39</v>
      </c>
      <c r="Z64" s="56" t="n">
        <v>0</v>
      </c>
    </row>
    <row r="65" customFormat="false" ht="15" hidden="false" customHeight="false" outlineLevel="0" collapsed="false">
      <c r="A65" s="37" t="s">
        <v>138</v>
      </c>
      <c r="B65" s="37" t="s">
        <v>336</v>
      </c>
      <c r="C65" s="39" t="n">
        <v>1</v>
      </c>
      <c r="D65" s="37" t="s">
        <v>30</v>
      </c>
      <c r="E65" s="37" t="s">
        <v>335</v>
      </c>
      <c r="F65" s="38" t="n">
        <v>2436.23</v>
      </c>
      <c r="G65" s="38" t="n">
        <v>635.62</v>
      </c>
      <c r="H65" s="38" t="n">
        <v>29.88</v>
      </c>
      <c r="I65" s="38" t="n">
        <v>204.07</v>
      </c>
      <c r="J65" s="38" t="n">
        <v>0</v>
      </c>
      <c r="K65" s="38" t="n">
        <v>0</v>
      </c>
      <c r="L65" s="38" t="n">
        <v>1796.66</v>
      </c>
      <c r="M65" s="38" t="n">
        <v>0</v>
      </c>
      <c r="N65" s="38" t="n">
        <v>1496.44</v>
      </c>
      <c r="O65" s="38" t="n">
        <v>0</v>
      </c>
      <c r="P65" s="38" t="n">
        <v>144.06</v>
      </c>
      <c r="Q65" s="38" t="n">
        <v>488.75</v>
      </c>
      <c r="R65" s="38" t="n">
        <v>10147.78</v>
      </c>
      <c r="S65" s="38" t="n">
        <v>643.48</v>
      </c>
      <c r="T65" s="38" t="n">
        <v>15.39</v>
      </c>
      <c r="U65" s="55" t="n">
        <v>5.41</v>
      </c>
      <c r="V65" s="38" t="n">
        <v>45.02</v>
      </c>
      <c r="W65" s="38" t="n">
        <v>65.82</v>
      </c>
      <c r="X65" s="38" t="n">
        <v>18088.81</v>
      </c>
      <c r="Y65" s="38" t="n">
        <v>18088.81</v>
      </c>
      <c r="Z65" s="55" t="n">
        <v>0</v>
      </c>
    </row>
    <row r="66" customFormat="false" ht="15" hidden="false" customHeight="false" outlineLevel="0" collapsed="false">
      <c r="A66" s="45" t="s">
        <v>126</v>
      </c>
      <c r="B66" s="45" t="s">
        <v>336</v>
      </c>
      <c r="C66" s="47" t="n">
        <v>0.7</v>
      </c>
      <c r="D66" s="45" t="s">
        <v>30</v>
      </c>
      <c r="E66" s="45" t="s">
        <v>335</v>
      </c>
      <c r="F66" s="46" t="n">
        <v>2199.78</v>
      </c>
      <c r="G66" s="46" t="n">
        <v>509.32</v>
      </c>
      <c r="H66" s="46" t="n">
        <v>27.57</v>
      </c>
      <c r="I66" s="46" t="n">
        <v>188.4</v>
      </c>
      <c r="J66" s="46" t="n">
        <v>0</v>
      </c>
      <c r="K66" s="46" t="n">
        <v>0</v>
      </c>
      <c r="L66" s="46" t="n">
        <v>1657.14</v>
      </c>
      <c r="M66" s="46" t="n">
        <v>0</v>
      </c>
      <c r="N66" s="46" t="n">
        <v>1363.46</v>
      </c>
      <c r="O66" s="46" t="n">
        <v>0</v>
      </c>
      <c r="P66" s="46" t="n">
        <v>131.26</v>
      </c>
      <c r="Q66" s="46" t="n">
        <v>445.32</v>
      </c>
      <c r="R66" s="46" t="n">
        <v>14496.83</v>
      </c>
      <c r="S66" s="46" t="n">
        <v>641.63</v>
      </c>
      <c r="T66" s="46" t="n">
        <v>12.67</v>
      </c>
      <c r="U66" s="56" t="n">
        <v>5.41</v>
      </c>
      <c r="V66" s="46" t="n">
        <v>45.02</v>
      </c>
      <c r="W66" s="46" t="n">
        <v>63.1</v>
      </c>
      <c r="X66" s="46" t="n">
        <v>21723.83</v>
      </c>
      <c r="Y66" s="46" t="n">
        <v>21723.83</v>
      </c>
      <c r="Z66" s="56" t="n">
        <v>0</v>
      </c>
    </row>
    <row r="67" customFormat="false" ht="15" hidden="false" customHeight="false" outlineLevel="0" collapsed="false">
      <c r="A67" s="37" t="s">
        <v>130</v>
      </c>
      <c r="B67" s="37" t="s">
        <v>336</v>
      </c>
      <c r="C67" s="39" t="n">
        <v>0.3</v>
      </c>
      <c r="D67" s="37" t="s">
        <v>30</v>
      </c>
      <c r="E67" s="37" t="s">
        <v>335</v>
      </c>
      <c r="F67" s="38" t="n">
        <v>2175.26</v>
      </c>
      <c r="G67" s="38" t="n">
        <v>398.47</v>
      </c>
      <c r="H67" s="38" t="n">
        <v>25.23</v>
      </c>
      <c r="I67" s="38" t="n">
        <v>156.57</v>
      </c>
      <c r="J67" s="38" t="n">
        <v>0</v>
      </c>
      <c r="K67" s="38" t="n">
        <v>0</v>
      </c>
      <c r="L67" s="38" t="n">
        <v>1516.85</v>
      </c>
      <c r="M67" s="38" t="n">
        <v>0</v>
      </c>
      <c r="N67" s="38" t="n">
        <v>1229.39</v>
      </c>
      <c r="O67" s="38" t="n">
        <v>0</v>
      </c>
      <c r="P67" s="38" t="n">
        <v>118.35</v>
      </c>
      <c r="Q67" s="38" t="n">
        <v>401.53</v>
      </c>
      <c r="R67" s="38" t="n">
        <v>28993.67</v>
      </c>
      <c r="S67" s="38" t="n">
        <v>643.28</v>
      </c>
      <c r="T67" s="38" t="n">
        <v>10.74</v>
      </c>
      <c r="U67" s="55" t="n">
        <v>5.41</v>
      </c>
      <c r="V67" s="38" t="n">
        <v>45.02</v>
      </c>
      <c r="W67" s="38" t="n">
        <v>61.17</v>
      </c>
      <c r="X67" s="38" t="n">
        <v>35719.78</v>
      </c>
      <c r="Y67" s="38" t="n">
        <v>35719.78</v>
      </c>
      <c r="Z67" s="55" t="n">
        <v>0</v>
      </c>
    </row>
    <row r="68" customFormat="false" ht="15" hidden="false" customHeight="false" outlineLevel="0" collapsed="false">
      <c r="A68" s="45" t="s">
        <v>142</v>
      </c>
      <c r="B68" s="45" t="s">
        <v>336</v>
      </c>
      <c r="C68" s="47" t="n">
        <v>0.2</v>
      </c>
      <c r="D68" s="45" t="s">
        <v>30</v>
      </c>
      <c r="E68" s="45" t="s">
        <v>335</v>
      </c>
      <c r="F68" s="46" t="n">
        <v>2465.27</v>
      </c>
      <c r="G68" s="46" t="n">
        <v>517.03</v>
      </c>
      <c r="H68" s="46" t="n">
        <v>28.43</v>
      </c>
      <c r="I68" s="46" t="n">
        <v>206.32</v>
      </c>
      <c r="J68" s="46" t="n">
        <v>0</v>
      </c>
      <c r="K68" s="46" t="n">
        <v>0</v>
      </c>
      <c r="L68" s="46" t="n">
        <v>1708.67</v>
      </c>
      <c r="M68" s="46" t="n">
        <v>0</v>
      </c>
      <c r="N68" s="46" t="n">
        <v>1412.62</v>
      </c>
      <c r="O68" s="46" t="n">
        <v>0</v>
      </c>
      <c r="P68" s="46" t="n">
        <v>135.99</v>
      </c>
      <c r="Q68" s="46" t="n">
        <v>461.38</v>
      </c>
      <c r="R68" s="46" t="n">
        <v>40591.14</v>
      </c>
      <c r="S68" s="46" t="n">
        <v>635.89</v>
      </c>
      <c r="T68" s="46" t="n">
        <v>12.23</v>
      </c>
      <c r="U68" s="56" t="n">
        <v>5.41</v>
      </c>
      <c r="V68" s="46" t="n">
        <v>45.02</v>
      </c>
      <c r="W68" s="46" t="n">
        <v>62.66</v>
      </c>
      <c r="X68" s="46" t="n">
        <v>48225.39</v>
      </c>
      <c r="Y68" s="46" t="n">
        <v>48225.39</v>
      </c>
      <c r="Z68" s="56" t="n">
        <v>0</v>
      </c>
    </row>
    <row r="69" customFormat="false" ht="15" hidden="false" customHeight="false" outlineLevel="0" collapsed="false">
      <c r="A69" s="37" t="s">
        <v>46</v>
      </c>
      <c r="B69" s="37" t="s">
        <v>337</v>
      </c>
      <c r="C69" s="39" t="n">
        <v>280</v>
      </c>
      <c r="D69" s="37" t="s">
        <v>30</v>
      </c>
      <c r="E69" s="37" t="s">
        <v>335</v>
      </c>
      <c r="F69" s="38" t="n">
        <v>1756.38</v>
      </c>
      <c r="G69" s="38" t="n">
        <v>281.65</v>
      </c>
      <c r="H69" s="38" t="n">
        <v>23.27</v>
      </c>
      <c r="I69" s="38" t="n">
        <v>94.17</v>
      </c>
      <c r="J69" s="38" t="n">
        <v>0</v>
      </c>
      <c r="K69" s="38" t="n">
        <v>0</v>
      </c>
      <c r="L69" s="38" t="n">
        <v>1252.78</v>
      </c>
      <c r="M69" s="38" t="n">
        <v>0</v>
      </c>
      <c r="N69" s="38" t="n">
        <v>535.08</v>
      </c>
      <c r="O69" s="38" t="n">
        <v>0</v>
      </c>
      <c r="P69" s="38" t="n">
        <v>65.86</v>
      </c>
      <c r="Q69" s="38" t="n">
        <v>94.09</v>
      </c>
      <c r="R69" s="38" t="n">
        <v>135.55</v>
      </c>
      <c r="S69" s="38" t="n">
        <v>700.34</v>
      </c>
      <c r="T69" s="38" t="n">
        <v>19.93</v>
      </c>
      <c r="U69" s="55" t="n">
        <v>5.41</v>
      </c>
      <c r="V69" s="38" t="n">
        <v>45.02</v>
      </c>
      <c r="W69" s="38" t="n">
        <v>70.36</v>
      </c>
      <c r="X69" s="38" t="n">
        <v>5009.54</v>
      </c>
      <c r="Y69" s="38" t="n">
        <v>5009.54</v>
      </c>
      <c r="Z69" s="55" t="n">
        <v>0</v>
      </c>
    </row>
    <row r="70" customFormat="false" ht="15" hidden="false" customHeight="false" outlineLevel="0" collapsed="false">
      <c r="A70" s="45" t="s">
        <v>35</v>
      </c>
      <c r="B70" s="45" t="s">
        <v>337</v>
      </c>
      <c r="C70" s="47" t="n">
        <v>1400</v>
      </c>
      <c r="D70" s="45" t="s">
        <v>30</v>
      </c>
      <c r="E70" s="45" t="s">
        <v>335</v>
      </c>
      <c r="F70" s="46" t="n">
        <v>1863.32</v>
      </c>
      <c r="G70" s="46" t="n">
        <v>372.35</v>
      </c>
      <c r="H70" s="46" t="n">
        <v>23.84</v>
      </c>
      <c r="I70" s="46" t="n">
        <v>67.83</v>
      </c>
      <c r="J70" s="46" t="n">
        <v>0</v>
      </c>
      <c r="K70" s="46" t="n">
        <v>0</v>
      </c>
      <c r="L70" s="46" t="n">
        <v>1155.91</v>
      </c>
      <c r="M70" s="46" t="n">
        <v>653.06</v>
      </c>
      <c r="N70" s="46" t="n">
        <v>448.15</v>
      </c>
      <c r="O70" s="46" t="n">
        <v>0</v>
      </c>
      <c r="P70" s="46" t="n">
        <v>46.22</v>
      </c>
      <c r="Q70" s="46" t="n">
        <v>58.06</v>
      </c>
      <c r="R70" s="46" t="n">
        <v>71.21</v>
      </c>
      <c r="S70" s="46" t="n">
        <v>262.23</v>
      </c>
      <c r="T70" s="46" t="n">
        <v>25.42</v>
      </c>
      <c r="U70" s="56" t="n">
        <v>5.41</v>
      </c>
      <c r="V70" s="46" t="n">
        <v>33.66</v>
      </c>
      <c r="W70" s="46" t="n">
        <v>64.49</v>
      </c>
      <c r="X70" s="46" t="n">
        <v>5086.67</v>
      </c>
      <c r="Y70" s="46" t="n">
        <v>5086.67</v>
      </c>
      <c r="Z70" s="56" t="n">
        <v>0</v>
      </c>
    </row>
    <row r="71" customFormat="false" ht="15" hidden="false" customHeight="false" outlineLevel="0" collapsed="false">
      <c r="A71" s="37" t="s">
        <v>43</v>
      </c>
      <c r="B71" s="37" t="s">
        <v>337</v>
      </c>
      <c r="C71" s="39" t="n">
        <v>1242.5</v>
      </c>
      <c r="D71" s="37" t="s">
        <v>30</v>
      </c>
      <c r="E71" s="37" t="s">
        <v>335</v>
      </c>
      <c r="F71" s="38" t="n">
        <v>1955.04</v>
      </c>
      <c r="G71" s="38" t="n">
        <v>350.61</v>
      </c>
      <c r="H71" s="38" t="n">
        <v>23.27</v>
      </c>
      <c r="I71" s="38" t="n">
        <v>76.58</v>
      </c>
      <c r="J71" s="38" t="n">
        <v>0</v>
      </c>
      <c r="K71" s="38" t="n">
        <v>0</v>
      </c>
      <c r="L71" s="38" t="n">
        <v>1162.83</v>
      </c>
      <c r="M71" s="38" t="n">
        <v>0</v>
      </c>
      <c r="N71" s="38" t="n">
        <v>452.45</v>
      </c>
      <c r="O71" s="38" t="n">
        <v>0</v>
      </c>
      <c r="P71" s="38" t="n">
        <v>47.45</v>
      </c>
      <c r="Q71" s="38" t="n">
        <v>60.17</v>
      </c>
      <c r="R71" s="38" t="n">
        <v>74.69</v>
      </c>
      <c r="S71" s="38" t="n">
        <v>819.01</v>
      </c>
      <c r="T71" s="38" t="n">
        <v>23.45</v>
      </c>
      <c r="U71" s="55" t="n">
        <v>5.41</v>
      </c>
      <c r="V71" s="38" t="n">
        <v>45.02</v>
      </c>
      <c r="W71" s="38" t="n">
        <v>73.88</v>
      </c>
      <c r="X71" s="38" t="n">
        <v>5096</v>
      </c>
      <c r="Y71" s="38" t="n">
        <v>5096</v>
      </c>
      <c r="Z71" s="55" t="n">
        <v>0</v>
      </c>
    </row>
    <row r="72" customFormat="false" ht="15" hidden="false" customHeight="false" outlineLevel="0" collapsed="false">
      <c r="A72" s="45" t="s">
        <v>26</v>
      </c>
      <c r="B72" s="45" t="s">
        <v>337</v>
      </c>
      <c r="C72" s="47" t="n">
        <v>875</v>
      </c>
      <c r="D72" s="45" t="s">
        <v>30</v>
      </c>
      <c r="E72" s="45" t="s">
        <v>335</v>
      </c>
      <c r="F72" s="46" t="n">
        <v>1431.27</v>
      </c>
      <c r="G72" s="46" t="n">
        <v>536.01</v>
      </c>
      <c r="H72" s="46" t="n">
        <v>26.13</v>
      </c>
      <c r="I72" s="46" t="n">
        <v>146.25</v>
      </c>
      <c r="J72" s="46" t="n">
        <v>0</v>
      </c>
      <c r="K72" s="46" t="n">
        <v>0</v>
      </c>
      <c r="L72" s="46" t="n">
        <v>1261.32</v>
      </c>
      <c r="M72" s="46" t="n">
        <v>830.64</v>
      </c>
      <c r="N72" s="46" t="n">
        <v>502.09</v>
      </c>
      <c r="O72" s="46" t="n">
        <v>5.14</v>
      </c>
      <c r="P72" s="46" t="n">
        <v>55.31</v>
      </c>
      <c r="Q72" s="46" t="n">
        <v>72.13</v>
      </c>
      <c r="R72" s="46" t="n">
        <v>85.93</v>
      </c>
      <c r="S72" s="46" t="n">
        <v>173.87</v>
      </c>
      <c r="T72" s="46" t="n">
        <v>29.35</v>
      </c>
      <c r="U72" s="56" t="n">
        <v>5.41</v>
      </c>
      <c r="V72" s="46" t="n">
        <v>31.94</v>
      </c>
      <c r="W72" s="46" t="n">
        <v>66.7</v>
      </c>
      <c r="X72" s="46" t="n">
        <v>5192.79</v>
      </c>
      <c r="Y72" s="46" t="n">
        <v>5192.79</v>
      </c>
      <c r="Z72" s="56" t="n">
        <v>0</v>
      </c>
    </row>
    <row r="73" customFormat="false" ht="15" hidden="false" customHeight="false" outlineLevel="0" collapsed="false">
      <c r="A73" s="37" t="s">
        <v>63</v>
      </c>
      <c r="B73" s="37" t="s">
        <v>337</v>
      </c>
      <c r="C73" s="39" t="n">
        <v>220.5</v>
      </c>
      <c r="D73" s="37" t="s">
        <v>334</v>
      </c>
      <c r="E73" s="37" t="s">
        <v>335</v>
      </c>
      <c r="F73" s="38" t="n">
        <v>1727</v>
      </c>
      <c r="G73" s="38" t="n">
        <v>310.64</v>
      </c>
      <c r="H73" s="38" t="n">
        <v>24.61</v>
      </c>
      <c r="I73" s="38" t="n">
        <v>0</v>
      </c>
      <c r="J73" s="38" t="n">
        <v>0.81</v>
      </c>
      <c r="K73" s="38" t="n">
        <v>0</v>
      </c>
      <c r="L73" s="38" t="n">
        <v>1342.22</v>
      </c>
      <c r="M73" s="38" t="n">
        <v>0</v>
      </c>
      <c r="N73" s="38" t="n">
        <v>605.92</v>
      </c>
      <c r="O73" s="38" t="n">
        <v>0</v>
      </c>
      <c r="P73" s="38" t="n">
        <v>73.03</v>
      </c>
      <c r="Q73" s="38" t="n">
        <v>200.39</v>
      </c>
      <c r="R73" s="38" t="n">
        <v>149.14</v>
      </c>
      <c r="S73" s="38" t="n">
        <v>733.38</v>
      </c>
      <c r="T73" s="38" t="n">
        <v>13.58</v>
      </c>
      <c r="U73" s="55" t="n">
        <v>5.41</v>
      </c>
      <c r="V73" s="38" t="n">
        <v>45.02</v>
      </c>
      <c r="W73" s="38" t="n">
        <v>64.01</v>
      </c>
      <c r="X73" s="38" t="n">
        <v>5231.16</v>
      </c>
      <c r="Y73" s="38" t="n">
        <v>5231.16</v>
      </c>
      <c r="Z73" s="55" t="n">
        <v>0</v>
      </c>
    </row>
    <row r="74" customFormat="false" ht="15" hidden="false" customHeight="false" outlineLevel="0" collapsed="false">
      <c r="A74" s="45" t="s">
        <v>50</v>
      </c>
      <c r="B74" s="45" t="s">
        <v>337</v>
      </c>
      <c r="C74" s="47" t="n">
        <v>490</v>
      </c>
      <c r="D74" s="45" t="s">
        <v>334</v>
      </c>
      <c r="E74" s="45" t="s">
        <v>335</v>
      </c>
      <c r="F74" s="46" t="n">
        <v>1380.13</v>
      </c>
      <c r="G74" s="46" t="n">
        <v>698.55</v>
      </c>
      <c r="H74" s="46" t="n">
        <v>26.84</v>
      </c>
      <c r="I74" s="46" t="n">
        <v>0</v>
      </c>
      <c r="J74" s="46" t="n">
        <v>1.85</v>
      </c>
      <c r="K74" s="46" t="n">
        <v>0</v>
      </c>
      <c r="L74" s="46" t="n">
        <v>1399.08</v>
      </c>
      <c r="M74" s="46" t="n">
        <v>0</v>
      </c>
      <c r="N74" s="46" t="n">
        <v>563.41</v>
      </c>
      <c r="O74" s="46" t="n">
        <v>0</v>
      </c>
      <c r="P74" s="46" t="n">
        <v>66.42</v>
      </c>
      <c r="Q74" s="46" t="n">
        <v>162.58</v>
      </c>
      <c r="R74" s="46" t="n">
        <v>108.37</v>
      </c>
      <c r="S74" s="46" t="n">
        <v>820.79</v>
      </c>
      <c r="T74" s="46" t="n">
        <v>27.07</v>
      </c>
      <c r="U74" s="56" t="n">
        <v>5.41</v>
      </c>
      <c r="V74" s="46" t="n">
        <v>45.02</v>
      </c>
      <c r="W74" s="46" t="n">
        <v>77.5</v>
      </c>
      <c r="X74" s="46" t="n">
        <v>5305.51</v>
      </c>
      <c r="Y74" s="46" t="n">
        <v>5305.51</v>
      </c>
      <c r="Z74" s="56" t="n">
        <v>0</v>
      </c>
    </row>
    <row r="75" customFormat="false" ht="15" hidden="false" customHeight="false" outlineLevel="0" collapsed="false">
      <c r="A75" s="37" t="s">
        <v>39</v>
      </c>
      <c r="B75" s="37" t="s">
        <v>337</v>
      </c>
      <c r="C75" s="39" t="n">
        <v>367.5</v>
      </c>
      <c r="D75" s="37" t="s">
        <v>30</v>
      </c>
      <c r="E75" s="37" t="s">
        <v>335</v>
      </c>
      <c r="F75" s="38" t="n">
        <v>1440.3</v>
      </c>
      <c r="G75" s="38" t="n">
        <v>539.39</v>
      </c>
      <c r="H75" s="38" t="n">
        <v>25.43</v>
      </c>
      <c r="I75" s="38" t="n">
        <v>139.54</v>
      </c>
      <c r="J75" s="38" t="n">
        <v>0</v>
      </c>
      <c r="K75" s="38" t="n">
        <v>0</v>
      </c>
      <c r="L75" s="38" t="n">
        <v>1317.23</v>
      </c>
      <c r="M75" s="38" t="n">
        <v>741.74</v>
      </c>
      <c r="N75" s="38" t="n">
        <v>538.17</v>
      </c>
      <c r="O75" s="38" t="n">
        <v>0</v>
      </c>
      <c r="P75" s="38" t="n">
        <v>66.94</v>
      </c>
      <c r="Q75" s="38" t="n">
        <v>93.57</v>
      </c>
      <c r="R75" s="38" t="n">
        <v>121.58</v>
      </c>
      <c r="S75" s="38" t="n">
        <v>242.16</v>
      </c>
      <c r="T75" s="38" t="n">
        <v>10.83</v>
      </c>
      <c r="U75" s="55" t="n">
        <v>5.41</v>
      </c>
      <c r="V75" s="38" t="n">
        <v>33.83</v>
      </c>
      <c r="W75" s="38" t="n">
        <v>50.07</v>
      </c>
      <c r="X75" s="38" t="n">
        <v>5316.12</v>
      </c>
      <c r="Y75" s="38" t="n">
        <v>5316.12</v>
      </c>
      <c r="Z75" s="55" t="n">
        <v>0</v>
      </c>
    </row>
    <row r="76" customFormat="false" ht="15" hidden="false" customHeight="false" outlineLevel="0" collapsed="false">
      <c r="A76" s="45" t="s">
        <v>75</v>
      </c>
      <c r="B76" s="45" t="s">
        <v>337</v>
      </c>
      <c r="C76" s="47" t="n">
        <v>217</v>
      </c>
      <c r="D76" s="45" t="s">
        <v>30</v>
      </c>
      <c r="E76" s="45" t="s">
        <v>335</v>
      </c>
      <c r="F76" s="46" t="n">
        <v>1844.37</v>
      </c>
      <c r="G76" s="46" t="n">
        <v>337.41</v>
      </c>
      <c r="H76" s="46" t="n">
        <v>25.1</v>
      </c>
      <c r="I76" s="46" t="n">
        <v>106.5</v>
      </c>
      <c r="J76" s="46" t="n">
        <v>0</v>
      </c>
      <c r="K76" s="46" t="n">
        <v>0</v>
      </c>
      <c r="L76" s="46" t="n">
        <v>1366.74</v>
      </c>
      <c r="M76" s="46" t="n">
        <v>0</v>
      </c>
      <c r="N76" s="46" t="n">
        <v>635.92</v>
      </c>
      <c r="O76" s="46" t="n">
        <v>0</v>
      </c>
      <c r="P76" s="46" t="n">
        <v>76.11</v>
      </c>
      <c r="Q76" s="46" t="n">
        <v>110.97</v>
      </c>
      <c r="R76" s="46" t="n">
        <v>150.1</v>
      </c>
      <c r="S76" s="46" t="n">
        <v>701.99</v>
      </c>
      <c r="T76" s="46" t="n">
        <v>23.34</v>
      </c>
      <c r="U76" s="56" t="n">
        <v>5.41</v>
      </c>
      <c r="V76" s="46" t="n">
        <v>45.02</v>
      </c>
      <c r="W76" s="46" t="n">
        <v>73.77</v>
      </c>
      <c r="X76" s="46" t="n">
        <v>5428.99</v>
      </c>
      <c r="Y76" s="46" t="n">
        <v>5428.99</v>
      </c>
      <c r="Z76" s="56" t="n">
        <v>0</v>
      </c>
    </row>
    <row r="77" customFormat="false" ht="15" hidden="false" customHeight="false" outlineLevel="0" collapsed="false">
      <c r="A77" s="37" t="s">
        <v>55</v>
      </c>
      <c r="B77" s="37" t="s">
        <v>337</v>
      </c>
      <c r="C77" s="39" t="n">
        <v>350</v>
      </c>
      <c r="D77" s="37" t="s">
        <v>30</v>
      </c>
      <c r="E77" s="37" t="s">
        <v>335</v>
      </c>
      <c r="F77" s="38" t="n">
        <v>1921.86</v>
      </c>
      <c r="G77" s="38" t="n">
        <v>384.63</v>
      </c>
      <c r="H77" s="38" t="n">
        <v>23.97</v>
      </c>
      <c r="I77" s="38" t="n">
        <v>149.06</v>
      </c>
      <c r="J77" s="38" t="n">
        <v>0</v>
      </c>
      <c r="K77" s="38" t="n">
        <v>0</v>
      </c>
      <c r="L77" s="38" t="n">
        <v>1245.5</v>
      </c>
      <c r="M77" s="38" t="n">
        <v>700.17</v>
      </c>
      <c r="N77" s="38" t="n">
        <v>503.93</v>
      </c>
      <c r="O77" s="38" t="n">
        <v>0</v>
      </c>
      <c r="P77" s="38" t="n">
        <v>63.11</v>
      </c>
      <c r="Q77" s="38" t="n">
        <v>175.9</v>
      </c>
      <c r="R77" s="38" t="n">
        <v>123.98</v>
      </c>
      <c r="S77" s="38" t="n">
        <v>225.81</v>
      </c>
      <c r="T77" s="38" t="n">
        <v>15.11</v>
      </c>
      <c r="U77" s="55" t="n">
        <v>5.41</v>
      </c>
      <c r="V77" s="38" t="n">
        <v>33.73</v>
      </c>
      <c r="W77" s="38" t="n">
        <v>54.25</v>
      </c>
      <c r="X77" s="38" t="n">
        <v>5572.16</v>
      </c>
      <c r="Y77" s="38" t="n">
        <v>5572.16</v>
      </c>
      <c r="Z77" s="55" t="n">
        <v>0</v>
      </c>
    </row>
    <row r="78" customFormat="false" ht="15" hidden="false" customHeight="false" outlineLevel="0" collapsed="false">
      <c r="A78" s="45" t="s">
        <v>67</v>
      </c>
      <c r="B78" s="45" t="s">
        <v>337</v>
      </c>
      <c r="C78" s="47" t="n">
        <v>1032.5</v>
      </c>
      <c r="D78" s="45" t="s">
        <v>30</v>
      </c>
      <c r="E78" s="45" t="s">
        <v>335</v>
      </c>
      <c r="F78" s="46" t="n">
        <v>2168.69</v>
      </c>
      <c r="G78" s="46" t="n">
        <v>394.59</v>
      </c>
      <c r="H78" s="46" t="n">
        <v>25.17</v>
      </c>
      <c r="I78" s="46" t="n">
        <v>89.22</v>
      </c>
      <c r="J78" s="46" t="n">
        <v>0</v>
      </c>
      <c r="K78" s="46" t="n">
        <v>0</v>
      </c>
      <c r="L78" s="46" t="n">
        <v>1237.76</v>
      </c>
      <c r="M78" s="46" t="n">
        <v>712.48</v>
      </c>
      <c r="N78" s="46" t="n">
        <v>489.31</v>
      </c>
      <c r="O78" s="46" t="n">
        <v>0</v>
      </c>
      <c r="P78" s="46" t="n">
        <v>52.66</v>
      </c>
      <c r="Q78" s="46" t="n">
        <v>67.78</v>
      </c>
      <c r="R78" s="46" t="n">
        <v>80.43</v>
      </c>
      <c r="S78" s="46" t="n">
        <v>216.84</v>
      </c>
      <c r="T78" s="46" t="n">
        <v>13.18</v>
      </c>
      <c r="U78" s="56" t="n">
        <v>5.41</v>
      </c>
      <c r="V78" s="46" t="n">
        <v>33.56</v>
      </c>
      <c r="W78" s="46" t="n">
        <v>52.15</v>
      </c>
      <c r="X78" s="46" t="n">
        <v>5587.09</v>
      </c>
      <c r="Y78" s="46" t="n">
        <v>5587.09</v>
      </c>
      <c r="Z78" s="56" t="n">
        <v>0</v>
      </c>
    </row>
    <row r="79" customFormat="false" ht="15" hidden="false" customHeight="false" outlineLevel="0" collapsed="false">
      <c r="A79" s="37" t="s">
        <v>79</v>
      </c>
      <c r="B79" s="37" t="s">
        <v>337</v>
      </c>
      <c r="C79" s="39" t="n">
        <v>185.5</v>
      </c>
      <c r="D79" s="37" t="s">
        <v>30</v>
      </c>
      <c r="E79" s="37" t="s">
        <v>335</v>
      </c>
      <c r="F79" s="38" t="n">
        <v>1960.92</v>
      </c>
      <c r="G79" s="38" t="n">
        <v>317.24</v>
      </c>
      <c r="H79" s="38" t="n">
        <v>24.04</v>
      </c>
      <c r="I79" s="38" t="n">
        <v>96.34</v>
      </c>
      <c r="J79" s="38" t="n">
        <v>0</v>
      </c>
      <c r="K79" s="38" t="n">
        <v>0</v>
      </c>
      <c r="L79" s="38" t="n">
        <v>1320.37</v>
      </c>
      <c r="M79" s="38" t="n">
        <v>0</v>
      </c>
      <c r="N79" s="38" t="n">
        <v>636.86</v>
      </c>
      <c r="O79" s="38" t="n">
        <v>0</v>
      </c>
      <c r="P79" s="38" t="n">
        <v>74.91</v>
      </c>
      <c r="Q79" s="38" t="n">
        <v>110.61</v>
      </c>
      <c r="R79" s="38" t="n">
        <v>159.82</v>
      </c>
      <c r="S79" s="38" t="n">
        <v>834.83</v>
      </c>
      <c r="T79" s="38" t="n">
        <v>25.85</v>
      </c>
      <c r="U79" s="55" t="n">
        <v>5.41</v>
      </c>
      <c r="V79" s="38" t="n">
        <v>45.02</v>
      </c>
      <c r="W79" s="38" t="n">
        <v>76.28</v>
      </c>
      <c r="X79" s="38" t="n">
        <v>5612.23</v>
      </c>
      <c r="Y79" s="38" t="n">
        <v>5612.23</v>
      </c>
      <c r="Z79" s="55" t="n">
        <v>0</v>
      </c>
    </row>
    <row r="80" customFormat="false" ht="15" hidden="false" customHeight="false" outlineLevel="0" collapsed="false">
      <c r="A80" s="45" t="s">
        <v>71</v>
      </c>
      <c r="B80" s="45" t="s">
        <v>337</v>
      </c>
      <c r="C80" s="47" t="n">
        <v>341.2</v>
      </c>
      <c r="D80" s="45" t="s">
        <v>30</v>
      </c>
      <c r="E80" s="45" t="s">
        <v>335</v>
      </c>
      <c r="F80" s="46" t="n">
        <v>1989.26</v>
      </c>
      <c r="G80" s="46" t="n">
        <v>441.69</v>
      </c>
      <c r="H80" s="46" t="n">
        <v>23.82</v>
      </c>
      <c r="I80" s="46" t="n">
        <v>139.58</v>
      </c>
      <c r="J80" s="46" t="n">
        <v>0</v>
      </c>
      <c r="K80" s="46" t="n">
        <v>0</v>
      </c>
      <c r="L80" s="46" t="n">
        <v>1240.45</v>
      </c>
      <c r="M80" s="46" t="n">
        <v>682.53</v>
      </c>
      <c r="N80" s="46" t="n">
        <v>501.73</v>
      </c>
      <c r="O80" s="46" t="n">
        <v>0</v>
      </c>
      <c r="P80" s="46" t="n">
        <v>63.05</v>
      </c>
      <c r="Q80" s="46" t="n">
        <v>176.11</v>
      </c>
      <c r="R80" s="46" t="n">
        <v>125.24</v>
      </c>
      <c r="S80" s="46" t="n">
        <v>230.31</v>
      </c>
      <c r="T80" s="46" t="n">
        <v>10.6</v>
      </c>
      <c r="U80" s="56" t="n">
        <v>5.41</v>
      </c>
      <c r="V80" s="46" t="n">
        <v>33.95</v>
      </c>
      <c r="W80" s="46" t="n">
        <v>49.96</v>
      </c>
      <c r="X80" s="46" t="n">
        <v>5663.74</v>
      </c>
      <c r="Y80" s="46" t="n">
        <v>5663.74</v>
      </c>
      <c r="Z80" s="56" t="n">
        <v>0</v>
      </c>
    </row>
    <row r="81" customFormat="false" ht="15" hidden="false" customHeight="false" outlineLevel="0" collapsed="false">
      <c r="A81" s="37" t="s">
        <v>90</v>
      </c>
      <c r="B81" s="37" t="s">
        <v>337</v>
      </c>
      <c r="C81" s="39" t="n">
        <v>173.2</v>
      </c>
      <c r="D81" s="37" t="s">
        <v>334</v>
      </c>
      <c r="E81" s="37" t="s">
        <v>335</v>
      </c>
      <c r="F81" s="38" t="n">
        <v>1872.42</v>
      </c>
      <c r="G81" s="38" t="n">
        <v>343.89</v>
      </c>
      <c r="H81" s="38" t="n">
        <v>26.7</v>
      </c>
      <c r="I81" s="38" t="n">
        <v>0</v>
      </c>
      <c r="J81" s="38" t="n">
        <v>0.95</v>
      </c>
      <c r="K81" s="38" t="n">
        <v>0</v>
      </c>
      <c r="L81" s="38" t="n">
        <v>1470.83</v>
      </c>
      <c r="M81" s="38" t="n">
        <v>0</v>
      </c>
      <c r="N81" s="38" t="n">
        <v>721.05</v>
      </c>
      <c r="O81" s="38" t="n">
        <v>0</v>
      </c>
      <c r="P81" s="38" t="n">
        <v>84.64</v>
      </c>
      <c r="Q81" s="38" t="n">
        <v>236.75</v>
      </c>
      <c r="R81" s="38" t="n">
        <v>164.25</v>
      </c>
      <c r="S81" s="38" t="n">
        <v>712.02</v>
      </c>
      <c r="T81" s="38" t="n">
        <v>27.56</v>
      </c>
      <c r="U81" s="55" t="n">
        <v>5.41</v>
      </c>
      <c r="V81" s="38" t="n">
        <v>45.02</v>
      </c>
      <c r="W81" s="38" t="n">
        <v>77.99</v>
      </c>
      <c r="X81" s="38" t="n">
        <v>5711.49</v>
      </c>
      <c r="Y81" s="38" t="n">
        <v>5711.49</v>
      </c>
      <c r="Z81" s="55" t="n">
        <v>0</v>
      </c>
    </row>
    <row r="82" customFormat="false" ht="15" hidden="false" customHeight="false" outlineLevel="0" collapsed="false">
      <c r="A82" s="45" t="s">
        <v>86</v>
      </c>
      <c r="B82" s="45" t="s">
        <v>337</v>
      </c>
      <c r="C82" s="47" t="n">
        <v>297.5</v>
      </c>
      <c r="D82" s="45" t="s">
        <v>30</v>
      </c>
      <c r="E82" s="45" t="s">
        <v>335</v>
      </c>
      <c r="F82" s="46" t="n">
        <v>2096.12</v>
      </c>
      <c r="G82" s="46" t="n">
        <v>426.71</v>
      </c>
      <c r="H82" s="46" t="n">
        <v>24.97</v>
      </c>
      <c r="I82" s="46" t="n">
        <v>154.47</v>
      </c>
      <c r="J82" s="46" t="n">
        <v>0</v>
      </c>
      <c r="K82" s="46" t="n">
        <v>0</v>
      </c>
      <c r="L82" s="46" t="n">
        <v>1338.27</v>
      </c>
      <c r="M82" s="46" t="n">
        <v>0</v>
      </c>
      <c r="N82" s="46" t="n">
        <v>569.48</v>
      </c>
      <c r="O82" s="46" t="n">
        <v>0</v>
      </c>
      <c r="P82" s="46" t="n">
        <v>70.56</v>
      </c>
      <c r="Q82" s="46" t="n">
        <v>199.25</v>
      </c>
      <c r="R82" s="46" t="n">
        <v>132.3</v>
      </c>
      <c r="S82" s="46" t="n">
        <v>733.89</v>
      </c>
      <c r="T82" s="46" t="n">
        <v>7.09</v>
      </c>
      <c r="U82" s="56" t="n">
        <v>5.41</v>
      </c>
      <c r="V82" s="46" t="n">
        <v>45.02</v>
      </c>
      <c r="W82" s="46" t="n">
        <v>57.52</v>
      </c>
      <c r="X82" s="46" t="n">
        <v>5803.55</v>
      </c>
      <c r="Y82" s="46" t="n">
        <v>5803.55</v>
      </c>
      <c r="Z82" s="56" t="n">
        <v>0</v>
      </c>
    </row>
    <row r="83" customFormat="false" ht="15" hidden="false" customHeight="false" outlineLevel="0" collapsed="false">
      <c r="A83" s="37" t="s">
        <v>59</v>
      </c>
      <c r="B83" s="37" t="s">
        <v>337</v>
      </c>
      <c r="C83" s="39" t="n">
        <v>252</v>
      </c>
      <c r="D83" s="37" t="s">
        <v>30</v>
      </c>
      <c r="E83" s="37" t="s">
        <v>320</v>
      </c>
      <c r="F83" s="38" t="n">
        <v>1560.87</v>
      </c>
      <c r="G83" s="38" t="n">
        <v>723.06</v>
      </c>
      <c r="H83" s="38" t="n">
        <v>40.03</v>
      </c>
      <c r="I83" s="38" t="n">
        <v>166.35</v>
      </c>
      <c r="J83" s="38" t="n">
        <v>0</v>
      </c>
      <c r="K83" s="38" t="n">
        <v>0</v>
      </c>
      <c r="L83" s="38" t="n">
        <v>1400</v>
      </c>
      <c r="M83" s="38" t="n">
        <v>1169.33</v>
      </c>
      <c r="N83" s="38" t="n">
        <v>628.2</v>
      </c>
      <c r="O83" s="38" t="n">
        <v>24.17</v>
      </c>
      <c r="P83" s="38" t="n">
        <v>76.43</v>
      </c>
      <c r="Q83" s="38" t="n">
        <v>110.12</v>
      </c>
      <c r="R83" s="38" t="n">
        <v>141.39</v>
      </c>
      <c r="S83" s="38" t="n">
        <v>0</v>
      </c>
      <c r="T83" s="38" t="n">
        <v>21.4</v>
      </c>
      <c r="U83" s="55" t="n">
        <v>5.41</v>
      </c>
      <c r="V83" s="38" t="n">
        <v>28.55</v>
      </c>
      <c r="W83" s="38" t="n">
        <v>55.36</v>
      </c>
      <c r="X83" s="38" t="n">
        <v>6095.31</v>
      </c>
      <c r="Y83" s="38" t="n">
        <v>6095.31</v>
      </c>
      <c r="Z83" s="55" t="n">
        <v>0</v>
      </c>
    </row>
    <row r="84" customFormat="false" ht="15" hidden="false" customHeight="false" outlineLevel="0" collapsed="false">
      <c r="A84" s="45" t="s">
        <v>110</v>
      </c>
      <c r="B84" s="45" t="s">
        <v>337</v>
      </c>
      <c r="C84" s="47" t="n">
        <v>140</v>
      </c>
      <c r="D84" s="45" t="s">
        <v>334</v>
      </c>
      <c r="E84" s="45" t="s">
        <v>335</v>
      </c>
      <c r="F84" s="46" t="n">
        <v>2290.18</v>
      </c>
      <c r="G84" s="46" t="n">
        <v>333.91</v>
      </c>
      <c r="H84" s="46" t="n">
        <v>26.49</v>
      </c>
      <c r="I84" s="46" t="n">
        <v>0</v>
      </c>
      <c r="J84" s="46" t="n">
        <v>0.99</v>
      </c>
      <c r="K84" s="46" t="n">
        <v>0</v>
      </c>
      <c r="L84" s="46" t="n">
        <v>1471.03</v>
      </c>
      <c r="M84" s="46" t="n">
        <v>0</v>
      </c>
      <c r="N84" s="46" t="n">
        <v>764.04</v>
      </c>
      <c r="O84" s="46" t="n">
        <v>0</v>
      </c>
      <c r="P84" s="46" t="n">
        <v>87.6</v>
      </c>
      <c r="Q84" s="46" t="n">
        <v>249.27</v>
      </c>
      <c r="R84" s="46" t="n">
        <v>178.86</v>
      </c>
      <c r="S84" s="46" t="n">
        <v>735.44</v>
      </c>
      <c r="T84" s="46" t="n">
        <v>11.22</v>
      </c>
      <c r="U84" s="56" t="n">
        <v>5.41</v>
      </c>
      <c r="V84" s="46" t="n">
        <v>45.02</v>
      </c>
      <c r="W84" s="46" t="n">
        <v>61.65</v>
      </c>
      <c r="X84" s="46" t="n">
        <v>6199.46</v>
      </c>
      <c r="Y84" s="46" t="n">
        <v>6199.46</v>
      </c>
      <c r="Z84" s="56" t="n">
        <v>0</v>
      </c>
    </row>
    <row r="85" customFormat="false" ht="15" hidden="false" customHeight="false" outlineLevel="0" collapsed="false">
      <c r="A85" s="37" t="s">
        <v>83</v>
      </c>
      <c r="B85" s="37" t="s">
        <v>337</v>
      </c>
      <c r="C85" s="39" t="n">
        <v>213.5</v>
      </c>
      <c r="D85" s="37" t="s">
        <v>30</v>
      </c>
      <c r="E85" s="37" t="s">
        <v>335</v>
      </c>
      <c r="F85" s="38" t="n">
        <v>2086.92</v>
      </c>
      <c r="G85" s="38" t="n">
        <v>466.8</v>
      </c>
      <c r="H85" s="38" t="n">
        <v>34.96</v>
      </c>
      <c r="I85" s="38" t="n">
        <v>156.39</v>
      </c>
      <c r="J85" s="38" t="n">
        <v>0</v>
      </c>
      <c r="K85" s="38" t="n">
        <v>0</v>
      </c>
      <c r="L85" s="38" t="n">
        <v>1304.17</v>
      </c>
      <c r="M85" s="38" t="n">
        <v>1036.33</v>
      </c>
      <c r="N85" s="38" t="n">
        <v>604.14</v>
      </c>
      <c r="O85" s="38" t="n">
        <v>20.5</v>
      </c>
      <c r="P85" s="38" t="n">
        <v>72.17</v>
      </c>
      <c r="Q85" s="38" t="n">
        <v>209.29</v>
      </c>
      <c r="R85" s="38" t="n">
        <v>151.08</v>
      </c>
      <c r="S85" s="38" t="n">
        <v>22.6</v>
      </c>
      <c r="T85" s="38" t="n">
        <v>0</v>
      </c>
      <c r="U85" s="55" t="n">
        <v>5.41</v>
      </c>
      <c r="V85" s="38" t="n">
        <v>29.12</v>
      </c>
      <c r="W85" s="38" t="n">
        <v>34.53</v>
      </c>
      <c r="X85" s="38" t="n">
        <v>6199.88</v>
      </c>
      <c r="Y85" s="38" t="n">
        <v>6199.88</v>
      </c>
      <c r="Z85" s="55" t="n">
        <v>0</v>
      </c>
    </row>
    <row r="86" customFormat="false" ht="15" hidden="false" customHeight="false" outlineLevel="0" collapsed="false">
      <c r="A86" s="45" t="s">
        <v>94</v>
      </c>
      <c r="B86" s="45" t="s">
        <v>337</v>
      </c>
      <c r="C86" s="47" t="n">
        <v>306.2</v>
      </c>
      <c r="D86" s="45" t="s">
        <v>334</v>
      </c>
      <c r="E86" s="45" t="s">
        <v>335</v>
      </c>
      <c r="F86" s="46" t="n">
        <v>2131.03</v>
      </c>
      <c r="G86" s="46" t="n">
        <v>395.31</v>
      </c>
      <c r="H86" s="46" t="n">
        <v>32.29</v>
      </c>
      <c r="I86" s="46" t="n">
        <v>0</v>
      </c>
      <c r="J86" s="46" t="n">
        <v>1.03</v>
      </c>
      <c r="K86" s="46" t="n">
        <v>0</v>
      </c>
      <c r="L86" s="46" t="n">
        <v>1490.55</v>
      </c>
      <c r="M86" s="46" t="n">
        <v>1049.16</v>
      </c>
      <c r="N86" s="46" t="n">
        <v>627.5</v>
      </c>
      <c r="O86" s="46" t="n">
        <v>11.45</v>
      </c>
      <c r="P86" s="46" t="n">
        <v>78.42</v>
      </c>
      <c r="Q86" s="46" t="n">
        <v>209.59</v>
      </c>
      <c r="R86" s="46" t="n">
        <v>130.78</v>
      </c>
      <c r="S86" s="46" t="n">
        <v>117.46</v>
      </c>
      <c r="T86" s="46" t="n">
        <v>11.18</v>
      </c>
      <c r="U86" s="56" t="n">
        <v>5.41</v>
      </c>
      <c r="V86" s="46" t="n">
        <v>31.21</v>
      </c>
      <c r="W86" s="46" t="n">
        <v>47.8</v>
      </c>
      <c r="X86" s="46" t="n">
        <v>6322.36</v>
      </c>
      <c r="Y86" s="46" t="n">
        <v>6322.36</v>
      </c>
      <c r="Z86" s="56" t="n">
        <v>0</v>
      </c>
    </row>
    <row r="87" customFormat="false" ht="15" hidden="false" customHeight="false" outlineLevel="0" collapsed="false">
      <c r="A87" s="37" t="s">
        <v>151</v>
      </c>
      <c r="B87" s="37" t="s">
        <v>337</v>
      </c>
      <c r="C87" s="39" t="n">
        <v>740</v>
      </c>
      <c r="D87" s="37" t="s">
        <v>334</v>
      </c>
      <c r="E87" s="37" t="s">
        <v>320</v>
      </c>
      <c r="F87" s="38" t="n">
        <v>1190.85</v>
      </c>
      <c r="G87" s="38" t="n">
        <v>973.25</v>
      </c>
      <c r="H87" s="38" t="n">
        <v>50.76</v>
      </c>
      <c r="I87" s="38" t="n">
        <v>0</v>
      </c>
      <c r="J87" s="38" t="n">
        <v>3.8</v>
      </c>
      <c r="K87" s="38" t="n">
        <v>0</v>
      </c>
      <c r="L87" s="38" t="n">
        <v>1679.24</v>
      </c>
      <c r="M87" s="38" t="n">
        <v>1426.22</v>
      </c>
      <c r="N87" s="38" t="n">
        <v>685.45</v>
      </c>
      <c r="O87" s="38" t="n">
        <v>21.75</v>
      </c>
      <c r="P87" s="38" t="n">
        <v>75.8</v>
      </c>
      <c r="Q87" s="38" t="n">
        <v>171.11</v>
      </c>
      <c r="R87" s="38" t="n">
        <v>91.89</v>
      </c>
      <c r="S87" s="38" t="n">
        <v>0</v>
      </c>
      <c r="T87" s="38" t="n">
        <v>26.7</v>
      </c>
      <c r="U87" s="55" t="n">
        <v>5.41</v>
      </c>
      <c r="V87" s="38" t="n">
        <v>28.55</v>
      </c>
      <c r="W87" s="38" t="n">
        <v>60.66</v>
      </c>
      <c r="X87" s="38" t="n">
        <v>6430.79</v>
      </c>
      <c r="Y87" s="38" t="n">
        <v>6430.79</v>
      </c>
      <c r="Z87" s="55" t="n">
        <v>0</v>
      </c>
    </row>
    <row r="88" customFormat="false" ht="15" hidden="false" customHeight="false" outlineLevel="0" collapsed="false">
      <c r="A88" s="45" t="s">
        <v>102</v>
      </c>
      <c r="B88" s="45" t="s">
        <v>337</v>
      </c>
      <c r="C88" s="47" t="n">
        <v>129.5</v>
      </c>
      <c r="D88" s="45" t="s">
        <v>334</v>
      </c>
      <c r="E88" s="45" t="s">
        <v>335</v>
      </c>
      <c r="F88" s="46" t="n">
        <v>1859.69</v>
      </c>
      <c r="G88" s="46" t="n">
        <v>774.27</v>
      </c>
      <c r="H88" s="46" t="n">
        <v>28.72</v>
      </c>
      <c r="I88" s="46" t="n">
        <v>0</v>
      </c>
      <c r="J88" s="46" t="n">
        <v>0.9</v>
      </c>
      <c r="K88" s="46" t="n">
        <v>0</v>
      </c>
      <c r="L88" s="46" t="n">
        <v>1484.57</v>
      </c>
      <c r="M88" s="46" t="n">
        <v>1000.16</v>
      </c>
      <c r="N88" s="46" t="n">
        <v>788.83</v>
      </c>
      <c r="O88" s="46" t="n">
        <v>11.15</v>
      </c>
      <c r="P88" s="46" t="n">
        <v>89.67</v>
      </c>
      <c r="Q88" s="46" t="n">
        <v>256.75</v>
      </c>
      <c r="R88" s="46" t="n">
        <v>184.53</v>
      </c>
      <c r="S88" s="46" t="n">
        <v>143.65</v>
      </c>
      <c r="T88" s="46" t="n">
        <v>12.03</v>
      </c>
      <c r="U88" s="56" t="n">
        <v>5.41</v>
      </c>
      <c r="V88" s="46" t="n">
        <v>31.69</v>
      </c>
      <c r="W88" s="46" t="n">
        <v>49.13</v>
      </c>
      <c r="X88" s="46" t="n">
        <v>6672.03</v>
      </c>
      <c r="Y88" s="46" t="n">
        <v>6672.03</v>
      </c>
      <c r="Z88" s="56" t="n">
        <v>0</v>
      </c>
    </row>
    <row r="89" customFormat="false" ht="15" hidden="false" customHeight="false" outlineLevel="0" collapsed="false">
      <c r="A89" s="37" t="s">
        <v>146</v>
      </c>
      <c r="B89" s="37" t="s">
        <v>337</v>
      </c>
      <c r="C89" s="39" t="n">
        <v>740</v>
      </c>
      <c r="D89" s="37" t="s">
        <v>334</v>
      </c>
      <c r="E89" s="37" t="s">
        <v>320</v>
      </c>
      <c r="F89" s="38" t="n">
        <v>1238.55</v>
      </c>
      <c r="G89" s="38" t="n">
        <v>1019.16</v>
      </c>
      <c r="H89" s="38" t="n">
        <v>52.5</v>
      </c>
      <c r="I89" s="38" t="n">
        <v>0</v>
      </c>
      <c r="J89" s="38" t="n">
        <v>3.97</v>
      </c>
      <c r="K89" s="38" t="n">
        <v>0</v>
      </c>
      <c r="L89" s="38" t="n">
        <v>1739.26</v>
      </c>
      <c r="M89" s="38" t="n">
        <v>1484.86</v>
      </c>
      <c r="N89" s="38" t="n">
        <v>713.63</v>
      </c>
      <c r="O89" s="38" t="n">
        <v>22.64</v>
      </c>
      <c r="P89" s="38" t="n">
        <v>78.91</v>
      </c>
      <c r="Q89" s="38" t="n">
        <v>178.15</v>
      </c>
      <c r="R89" s="38" t="n">
        <v>91.89</v>
      </c>
      <c r="S89" s="38" t="n">
        <v>0</v>
      </c>
      <c r="T89" s="38" t="n">
        <v>39.72</v>
      </c>
      <c r="U89" s="55" t="n">
        <v>5.41</v>
      </c>
      <c r="V89" s="38" t="n">
        <v>28.55</v>
      </c>
      <c r="W89" s="38" t="n">
        <v>73.68</v>
      </c>
      <c r="X89" s="38" t="n">
        <v>6697.2</v>
      </c>
      <c r="Y89" s="38" t="n">
        <v>6697.2</v>
      </c>
      <c r="Z89" s="55" t="n">
        <v>0</v>
      </c>
    </row>
    <row r="90" customFormat="false" ht="15" hidden="false" customHeight="false" outlineLevel="0" collapsed="false">
      <c r="A90" s="45" t="s">
        <v>98</v>
      </c>
      <c r="B90" s="45" t="s">
        <v>337</v>
      </c>
      <c r="C90" s="47" t="n">
        <v>75.2</v>
      </c>
      <c r="D90" s="45" t="s">
        <v>334</v>
      </c>
      <c r="E90" s="45" t="s">
        <v>320</v>
      </c>
      <c r="F90" s="46" t="n">
        <v>1632.81</v>
      </c>
      <c r="G90" s="46" t="n">
        <v>559.07</v>
      </c>
      <c r="H90" s="46" t="n">
        <v>41.99</v>
      </c>
      <c r="I90" s="46" t="n">
        <v>0</v>
      </c>
      <c r="J90" s="46" t="n">
        <v>1.2</v>
      </c>
      <c r="K90" s="46" t="n">
        <v>0</v>
      </c>
      <c r="L90" s="46" t="n">
        <v>1557.77</v>
      </c>
      <c r="M90" s="46" t="n">
        <v>1301.1</v>
      </c>
      <c r="N90" s="46" t="n">
        <v>967.19</v>
      </c>
      <c r="O90" s="46" t="n">
        <v>35.94</v>
      </c>
      <c r="P90" s="46" t="n">
        <v>103.58</v>
      </c>
      <c r="Q90" s="46" t="n">
        <v>309.72</v>
      </c>
      <c r="R90" s="46" t="n">
        <v>229.28</v>
      </c>
      <c r="S90" s="46" t="n">
        <v>0</v>
      </c>
      <c r="T90" s="46" t="n">
        <v>9.55</v>
      </c>
      <c r="U90" s="56" t="n">
        <v>5.41</v>
      </c>
      <c r="V90" s="46" t="n">
        <v>28.55</v>
      </c>
      <c r="W90" s="46" t="n">
        <v>43.51</v>
      </c>
      <c r="X90" s="46" t="n">
        <v>6783.17</v>
      </c>
      <c r="Y90" s="46" t="n">
        <v>6783.17</v>
      </c>
      <c r="Z90" s="56" t="n">
        <v>0</v>
      </c>
    </row>
    <row r="91" customFormat="false" ht="15" hidden="false" customHeight="false" outlineLevel="0" collapsed="false">
      <c r="A91" s="37" t="s">
        <v>155</v>
      </c>
      <c r="B91" s="37" t="s">
        <v>337</v>
      </c>
      <c r="C91" s="39" t="n">
        <v>740</v>
      </c>
      <c r="D91" s="37" t="s">
        <v>334</v>
      </c>
      <c r="E91" s="37" t="s">
        <v>320</v>
      </c>
      <c r="F91" s="38" t="n">
        <v>1803.35</v>
      </c>
      <c r="G91" s="38" t="n">
        <v>786.08</v>
      </c>
      <c r="H91" s="38" t="n">
        <v>51.38</v>
      </c>
      <c r="I91" s="38" t="n">
        <v>0</v>
      </c>
      <c r="J91" s="38" t="n">
        <v>1.79</v>
      </c>
      <c r="K91" s="38" t="n">
        <v>0</v>
      </c>
      <c r="L91" s="38" t="n">
        <v>1700.29</v>
      </c>
      <c r="M91" s="38" t="n">
        <v>1464.35</v>
      </c>
      <c r="N91" s="38" t="n">
        <v>705.7</v>
      </c>
      <c r="O91" s="38" t="n">
        <v>22.84</v>
      </c>
      <c r="P91" s="38" t="n">
        <v>79.04</v>
      </c>
      <c r="Q91" s="38" t="n">
        <v>196.85</v>
      </c>
      <c r="R91" s="38" t="n">
        <v>91.89</v>
      </c>
      <c r="S91" s="38" t="n">
        <v>0</v>
      </c>
      <c r="T91" s="38" t="n">
        <v>65.35</v>
      </c>
      <c r="U91" s="55" t="n">
        <v>5.41</v>
      </c>
      <c r="V91" s="38" t="n">
        <v>28.55</v>
      </c>
      <c r="W91" s="38" t="n">
        <v>99.31</v>
      </c>
      <c r="X91" s="38" t="n">
        <v>7002.88</v>
      </c>
      <c r="Y91" s="38" t="n">
        <v>7002.88</v>
      </c>
      <c r="Z91" s="55" t="n">
        <v>0</v>
      </c>
    </row>
    <row r="92" customFormat="false" ht="15" hidden="false" customHeight="false" outlineLevel="0" collapsed="false">
      <c r="A92" s="45" t="s">
        <v>106</v>
      </c>
      <c r="B92" s="45" t="s">
        <v>337</v>
      </c>
      <c r="C92" s="47" t="n">
        <v>56.4</v>
      </c>
      <c r="D92" s="45" t="s">
        <v>334</v>
      </c>
      <c r="E92" s="45" t="s">
        <v>320</v>
      </c>
      <c r="F92" s="46" t="n">
        <v>1488.51</v>
      </c>
      <c r="G92" s="46" t="n">
        <v>753.41</v>
      </c>
      <c r="H92" s="46" t="n">
        <v>43.41</v>
      </c>
      <c r="I92" s="46" t="n">
        <v>0</v>
      </c>
      <c r="J92" s="46" t="n">
        <v>2.8</v>
      </c>
      <c r="K92" s="46" t="n">
        <v>0</v>
      </c>
      <c r="L92" s="46" t="n">
        <v>1626.1</v>
      </c>
      <c r="M92" s="46" t="n">
        <v>1343.97</v>
      </c>
      <c r="N92" s="46" t="n">
        <v>1056.09</v>
      </c>
      <c r="O92" s="46" t="n">
        <v>39.01</v>
      </c>
      <c r="P92" s="46" t="n">
        <v>110.66</v>
      </c>
      <c r="Q92" s="46" t="n">
        <v>306.95</v>
      </c>
      <c r="R92" s="46" t="n">
        <v>257.4</v>
      </c>
      <c r="S92" s="46" t="n">
        <v>0</v>
      </c>
      <c r="T92" s="46" t="n">
        <v>0.22</v>
      </c>
      <c r="U92" s="56" t="n">
        <v>5.41</v>
      </c>
      <c r="V92" s="46" t="n">
        <v>28.55</v>
      </c>
      <c r="W92" s="46" t="n">
        <v>34.18</v>
      </c>
      <c r="X92" s="46" t="n">
        <v>7062.49</v>
      </c>
      <c r="Y92" s="46" t="n">
        <v>7062.49</v>
      </c>
      <c r="Z92" s="56" t="n">
        <v>0</v>
      </c>
    </row>
    <row r="93" customFormat="false" ht="15" hidden="false" customHeight="false" outlineLevel="0" collapsed="false">
      <c r="A93" s="37" t="s">
        <v>114</v>
      </c>
      <c r="B93" s="37" t="s">
        <v>337</v>
      </c>
      <c r="C93" s="39" t="n">
        <v>98</v>
      </c>
      <c r="D93" s="37" t="s">
        <v>30</v>
      </c>
      <c r="E93" s="37" t="s">
        <v>335</v>
      </c>
      <c r="F93" s="38" t="n">
        <v>1890.04</v>
      </c>
      <c r="G93" s="38" t="n">
        <v>891.94</v>
      </c>
      <c r="H93" s="38" t="n">
        <v>28.77</v>
      </c>
      <c r="I93" s="38" t="n">
        <v>168.42</v>
      </c>
      <c r="J93" s="38" t="n">
        <v>0</v>
      </c>
      <c r="K93" s="38" t="n">
        <v>0</v>
      </c>
      <c r="L93" s="38" t="n">
        <v>1594.18</v>
      </c>
      <c r="M93" s="38" t="n">
        <v>853.96</v>
      </c>
      <c r="N93" s="38" t="n">
        <v>944.65</v>
      </c>
      <c r="O93" s="38" t="n">
        <v>0</v>
      </c>
      <c r="P93" s="38" t="n">
        <v>103.59</v>
      </c>
      <c r="Q93" s="38" t="n">
        <v>160.96</v>
      </c>
      <c r="R93" s="38" t="n">
        <v>206.29</v>
      </c>
      <c r="S93" s="38" t="n">
        <v>304.28</v>
      </c>
      <c r="T93" s="38" t="n">
        <v>10.61</v>
      </c>
      <c r="U93" s="55" t="n">
        <v>5.41</v>
      </c>
      <c r="V93" s="38" t="n">
        <v>34.6</v>
      </c>
      <c r="W93" s="38" t="n">
        <v>50.62</v>
      </c>
      <c r="X93" s="38" t="n">
        <v>7197.7</v>
      </c>
      <c r="Y93" s="38" t="n">
        <v>7197.7</v>
      </c>
      <c r="Z93" s="55" t="n">
        <v>0</v>
      </c>
    </row>
    <row r="94" customFormat="false" ht="15" hidden="false" customHeight="false" outlineLevel="0" collapsed="false">
      <c r="A94" s="45" t="s">
        <v>126</v>
      </c>
      <c r="B94" s="45" t="s">
        <v>337</v>
      </c>
      <c r="C94" s="47" t="n">
        <v>19.6</v>
      </c>
      <c r="D94" s="45" t="s">
        <v>30</v>
      </c>
      <c r="E94" s="45" t="s">
        <v>335</v>
      </c>
      <c r="F94" s="46" t="n">
        <v>2199.78</v>
      </c>
      <c r="G94" s="46" t="n">
        <v>509.32</v>
      </c>
      <c r="H94" s="46" t="n">
        <v>27.57</v>
      </c>
      <c r="I94" s="46" t="n">
        <v>188.4</v>
      </c>
      <c r="J94" s="46" t="n">
        <v>0</v>
      </c>
      <c r="K94" s="46" t="n">
        <v>0</v>
      </c>
      <c r="L94" s="46" t="n">
        <v>1657.14</v>
      </c>
      <c r="M94" s="46" t="n">
        <v>0</v>
      </c>
      <c r="N94" s="46" t="n">
        <v>1363.46</v>
      </c>
      <c r="O94" s="46" t="n">
        <v>0</v>
      </c>
      <c r="P94" s="46" t="n">
        <v>131.26</v>
      </c>
      <c r="Q94" s="46" t="n">
        <v>445.32</v>
      </c>
      <c r="R94" s="46" t="n">
        <v>506.98</v>
      </c>
      <c r="S94" s="46" t="n">
        <v>681.47</v>
      </c>
      <c r="T94" s="46" t="n">
        <v>12.67</v>
      </c>
      <c r="U94" s="56" t="n">
        <v>5.41</v>
      </c>
      <c r="V94" s="46" t="n">
        <v>45.02</v>
      </c>
      <c r="W94" s="46" t="n">
        <v>63.1</v>
      </c>
      <c r="X94" s="46" t="n">
        <v>7773.81</v>
      </c>
      <c r="Y94" s="46" t="n">
        <v>7773.81</v>
      </c>
      <c r="Z94" s="56" t="n">
        <v>0</v>
      </c>
    </row>
    <row r="95" customFormat="false" ht="15" hidden="false" customHeight="false" outlineLevel="0" collapsed="false">
      <c r="A95" s="37" t="s">
        <v>130</v>
      </c>
      <c r="B95" s="37" t="s">
        <v>337</v>
      </c>
      <c r="C95" s="39" t="n">
        <v>9.8</v>
      </c>
      <c r="D95" s="37" t="s">
        <v>30</v>
      </c>
      <c r="E95" s="37" t="s">
        <v>335</v>
      </c>
      <c r="F95" s="38" t="n">
        <v>2175.26</v>
      </c>
      <c r="G95" s="38" t="n">
        <v>398.47</v>
      </c>
      <c r="H95" s="38" t="n">
        <v>25.23</v>
      </c>
      <c r="I95" s="38" t="n">
        <v>156.57</v>
      </c>
      <c r="J95" s="38" t="n">
        <v>0</v>
      </c>
      <c r="K95" s="38" t="n">
        <v>0</v>
      </c>
      <c r="L95" s="38" t="n">
        <v>1516.85</v>
      </c>
      <c r="M95" s="38" t="n">
        <v>0</v>
      </c>
      <c r="N95" s="38" t="n">
        <v>1229.39</v>
      </c>
      <c r="O95" s="38" t="n">
        <v>0</v>
      </c>
      <c r="P95" s="38" t="n">
        <v>118.35</v>
      </c>
      <c r="Q95" s="38" t="n">
        <v>401.53</v>
      </c>
      <c r="R95" s="38" t="n">
        <v>1013.95</v>
      </c>
      <c r="S95" s="38" t="n">
        <v>690.31</v>
      </c>
      <c r="T95" s="38" t="n">
        <v>10.74</v>
      </c>
      <c r="U95" s="55" t="n">
        <v>5.41</v>
      </c>
      <c r="V95" s="38" t="n">
        <v>45.02</v>
      </c>
      <c r="W95" s="38" t="n">
        <v>61.17</v>
      </c>
      <c r="X95" s="38" t="n">
        <v>7787.09</v>
      </c>
      <c r="Y95" s="38" t="n">
        <v>7787.09</v>
      </c>
      <c r="Z95" s="55" t="n">
        <v>0</v>
      </c>
    </row>
    <row r="96" customFormat="false" ht="15" hidden="false" customHeight="false" outlineLevel="0" collapsed="false">
      <c r="A96" s="45" t="s">
        <v>134</v>
      </c>
      <c r="B96" s="45" t="s">
        <v>337</v>
      </c>
      <c r="C96" s="47" t="n">
        <v>44.1</v>
      </c>
      <c r="D96" s="45" t="s">
        <v>334</v>
      </c>
      <c r="E96" s="45" t="s">
        <v>335</v>
      </c>
      <c r="F96" s="46" t="n">
        <v>2740.33</v>
      </c>
      <c r="G96" s="46" t="n">
        <v>415.31</v>
      </c>
      <c r="H96" s="46" t="n">
        <v>31.67</v>
      </c>
      <c r="I96" s="46" t="n">
        <v>0</v>
      </c>
      <c r="J96" s="46" t="n">
        <v>1.3</v>
      </c>
      <c r="K96" s="46" t="n">
        <v>0</v>
      </c>
      <c r="L96" s="46" t="n">
        <v>1864.38</v>
      </c>
      <c r="M96" s="46" t="n">
        <v>0</v>
      </c>
      <c r="N96" s="46" t="n">
        <v>1377.07</v>
      </c>
      <c r="O96" s="46" t="n">
        <v>0</v>
      </c>
      <c r="P96" s="46" t="n">
        <v>139.05</v>
      </c>
      <c r="Q96" s="46" t="n">
        <v>433.96</v>
      </c>
      <c r="R96" s="46" t="n">
        <v>283.92</v>
      </c>
      <c r="S96" s="46" t="n">
        <v>710.27</v>
      </c>
      <c r="T96" s="46" t="n">
        <v>10.95</v>
      </c>
      <c r="U96" s="56" t="n">
        <v>5.41</v>
      </c>
      <c r="V96" s="46" t="n">
        <v>45.02</v>
      </c>
      <c r="W96" s="46" t="n">
        <v>61.38</v>
      </c>
      <c r="X96" s="46" t="n">
        <v>8058.65</v>
      </c>
      <c r="Y96" s="46" t="n">
        <v>8058.65</v>
      </c>
      <c r="Z96" s="56" t="n">
        <v>0</v>
      </c>
    </row>
    <row r="97" customFormat="false" ht="15" hidden="false" customHeight="false" outlineLevel="0" collapsed="false">
      <c r="A97" s="37" t="s">
        <v>118</v>
      </c>
      <c r="B97" s="37" t="s">
        <v>337</v>
      </c>
      <c r="C97" s="39" t="n">
        <v>56</v>
      </c>
      <c r="D97" s="37" t="s">
        <v>334</v>
      </c>
      <c r="E97" s="37" t="s">
        <v>335</v>
      </c>
      <c r="F97" s="38" t="n">
        <v>2271.5</v>
      </c>
      <c r="G97" s="38" t="n">
        <v>803.27</v>
      </c>
      <c r="H97" s="38" t="n">
        <v>32.09</v>
      </c>
      <c r="I97" s="38" t="n">
        <v>0</v>
      </c>
      <c r="J97" s="38" t="n">
        <v>1.43</v>
      </c>
      <c r="K97" s="38" t="n">
        <v>0</v>
      </c>
      <c r="L97" s="38" t="n">
        <v>1842.25</v>
      </c>
      <c r="M97" s="38" t="n">
        <v>673.97</v>
      </c>
      <c r="N97" s="38" t="n">
        <v>1272.68</v>
      </c>
      <c r="O97" s="38" t="n">
        <v>0</v>
      </c>
      <c r="P97" s="38" t="n">
        <v>131.93</v>
      </c>
      <c r="Q97" s="38" t="n">
        <v>403.95</v>
      </c>
      <c r="R97" s="38" t="n">
        <v>258.04</v>
      </c>
      <c r="S97" s="38" t="n">
        <v>438.25</v>
      </c>
      <c r="T97" s="38" t="n">
        <v>14.12</v>
      </c>
      <c r="U97" s="55" t="n">
        <v>5.41</v>
      </c>
      <c r="V97" s="38" t="n">
        <v>37.98</v>
      </c>
      <c r="W97" s="38" t="n">
        <v>57.51</v>
      </c>
      <c r="X97" s="38" t="n">
        <v>8186.89</v>
      </c>
      <c r="Y97" s="38" t="n">
        <v>8186.89</v>
      </c>
      <c r="Z97" s="55" t="n">
        <v>0</v>
      </c>
    </row>
    <row r="98" customFormat="false" ht="15" hidden="false" customHeight="false" outlineLevel="0" collapsed="false">
      <c r="A98" s="45" t="s">
        <v>138</v>
      </c>
      <c r="B98" s="45" t="s">
        <v>337</v>
      </c>
      <c r="C98" s="47" t="n">
        <v>28</v>
      </c>
      <c r="D98" s="45" t="s">
        <v>30</v>
      </c>
      <c r="E98" s="45" t="s">
        <v>335</v>
      </c>
      <c r="F98" s="46" t="n">
        <v>2436.23</v>
      </c>
      <c r="G98" s="46" t="n">
        <v>635.62</v>
      </c>
      <c r="H98" s="46" t="n">
        <v>29.88</v>
      </c>
      <c r="I98" s="46" t="n">
        <v>204.07</v>
      </c>
      <c r="J98" s="46" t="n">
        <v>0</v>
      </c>
      <c r="K98" s="46" t="n">
        <v>0</v>
      </c>
      <c r="L98" s="46" t="n">
        <v>1796.66</v>
      </c>
      <c r="M98" s="46" t="n">
        <v>0</v>
      </c>
      <c r="N98" s="46" t="n">
        <v>1496.44</v>
      </c>
      <c r="O98" s="46" t="n">
        <v>0</v>
      </c>
      <c r="P98" s="46" t="n">
        <v>144.06</v>
      </c>
      <c r="Q98" s="46" t="n">
        <v>488.75</v>
      </c>
      <c r="R98" s="46" t="n">
        <v>354.88</v>
      </c>
      <c r="S98" s="46" t="n">
        <v>691.39</v>
      </c>
      <c r="T98" s="46" t="n">
        <v>15.39</v>
      </c>
      <c r="U98" s="56" t="n">
        <v>5.41</v>
      </c>
      <c r="V98" s="46" t="n">
        <v>45.02</v>
      </c>
      <c r="W98" s="46" t="n">
        <v>65.82</v>
      </c>
      <c r="X98" s="46" t="n">
        <v>8343.82</v>
      </c>
      <c r="Y98" s="46" t="n">
        <v>8343.82</v>
      </c>
      <c r="Z98" s="56" t="n">
        <v>0</v>
      </c>
    </row>
    <row r="99" customFormat="false" ht="15" hidden="false" customHeight="false" outlineLevel="0" collapsed="false">
      <c r="A99" s="37" t="s">
        <v>122</v>
      </c>
      <c r="B99" s="37" t="s">
        <v>337</v>
      </c>
      <c r="C99" s="39" t="n">
        <v>29.1</v>
      </c>
      <c r="D99" s="37" t="s">
        <v>334</v>
      </c>
      <c r="E99" s="37" t="s">
        <v>335</v>
      </c>
      <c r="F99" s="38" t="n">
        <v>2033.55</v>
      </c>
      <c r="G99" s="38" t="n">
        <v>868.77</v>
      </c>
      <c r="H99" s="38" t="n">
        <v>30.41</v>
      </c>
      <c r="I99" s="38" t="n">
        <v>0</v>
      </c>
      <c r="J99" s="38" t="n">
        <v>1.3</v>
      </c>
      <c r="K99" s="38" t="n">
        <v>0</v>
      </c>
      <c r="L99" s="38" t="n">
        <v>1792.61</v>
      </c>
      <c r="M99" s="38" t="n">
        <v>926.65</v>
      </c>
      <c r="N99" s="38" t="n">
        <v>1475.14</v>
      </c>
      <c r="O99" s="38" t="n">
        <v>0</v>
      </c>
      <c r="P99" s="38" t="n">
        <v>142.27</v>
      </c>
      <c r="Q99" s="38" t="n">
        <v>459.08</v>
      </c>
      <c r="R99" s="38" t="n">
        <v>342.06</v>
      </c>
      <c r="S99" s="38" t="n">
        <v>284.51</v>
      </c>
      <c r="T99" s="38" t="n">
        <v>14.88</v>
      </c>
      <c r="U99" s="55" t="n">
        <v>5.41</v>
      </c>
      <c r="V99" s="38" t="n">
        <v>34.98</v>
      </c>
      <c r="W99" s="38" t="n">
        <v>55.27</v>
      </c>
      <c r="X99" s="38" t="n">
        <v>8411.61</v>
      </c>
      <c r="Y99" s="38" t="n">
        <v>8411.61</v>
      </c>
      <c r="Z99" s="55" t="n">
        <v>0</v>
      </c>
    </row>
    <row r="100" customFormat="false" ht="15" hidden="false" customHeight="false" outlineLevel="0" collapsed="false">
      <c r="A100" s="45" t="s">
        <v>142</v>
      </c>
      <c r="B100" s="45" t="s">
        <v>337</v>
      </c>
      <c r="C100" s="47" t="n">
        <v>7</v>
      </c>
      <c r="D100" s="45" t="s">
        <v>30</v>
      </c>
      <c r="E100" s="45" t="s">
        <v>335</v>
      </c>
      <c r="F100" s="46" t="n">
        <v>2465.27</v>
      </c>
      <c r="G100" s="46" t="n">
        <v>517.03</v>
      </c>
      <c r="H100" s="46" t="n">
        <v>28.43</v>
      </c>
      <c r="I100" s="46" t="n">
        <v>206.32</v>
      </c>
      <c r="J100" s="46" t="n">
        <v>0</v>
      </c>
      <c r="K100" s="46" t="n">
        <v>0</v>
      </c>
      <c r="L100" s="46" t="n">
        <v>1708.67</v>
      </c>
      <c r="M100" s="46" t="n">
        <v>0</v>
      </c>
      <c r="N100" s="46" t="n">
        <v>1412.62</v>
      </c>
      <c r="O100" s="46" t="n">
        <v>0</v>
      </c>
      <c r="P100" s="46" t="n">
        <v>135.99</v>
      </c>
      <c r="Q100" s="46" t="n">
        <v>461.38</v>
      </c>
      <c r="R100" s="46" t="n">
        <v>1419.53</v>
      </c>
      <c r="S100" s="46" t="n">
        <v>650.79</v>
      </c>
      <c r="T100" s="46" t="n">
        <v>12.23</v>
      </c>
      <c r="U100" s="56" t="n">
        <v>5.41</v>
      </c>
      <c r="V100" s="46" t="n">
        <v>45.02</v>
      </c>
      <c r="W100" s="46" t="n">
        <v>62.66</v>
      </c>
      <c r="X100" s="46" t="n">
        <v>9068.69</v>
      </c>
      <c r="Y100" s="46" t="n">
        <v>9068.69</v>
      </c>
      <c r="Z100" s="56" t="n">
        <v>0</v>
      </c>
    </row>
    <row r="101" customFormat="false" ht="15" hidden="false" customHeight="false" outlineLevel="0" collapsed="false">
      <c r="A101" s="37" t="s">
        <v>26</v>
      </c>
      <c r="B101" s="37" t="s">
        <v>338</v>
      </c>
      <c r="C101" s="39" t="n">
        <v>875</v>
      </c>
      <c r="D101" s="37" t="s">
        <v>334</v>
      </c>
      <c r="E101" s="37" t="s">
        <v>320</v>
      </c>
      <c r="F101" s="38" t="n">
        <v>888.79</v>
      </c>
      <c r="G101" s="38" t="n">
        <v>441.9</v>
      </c>
      <c r="H101" s="38" t="n">
        <v>27.1</v>
      </c>
      <c r="I101" s="38" t="n">
        <v>0</v>
      </c>
      <c r="J101" s="38" t="n">
        <v>2.67</v>
      </c>
      <c r="K101" s="38" t="n">
        <v>0</v>
      </c>
      <c r="L101" s="38" t="n">
        <v>454.84</v>
      </c>
      <c r="M101" s="38" t="n">
        <v>304.77</v>
      </c>
      <c r="N101" s="38" t="n">
        <v>420.72</v>
      </c>
      <c r="O101" s="38" t="n">
        <v>10.74</v>
      </c>
      <c r="P101" s="38" t="n">
        <v>57.72</v>
      </c>
      <c r="Q101" s="38" t="n">
        <v>64.74</v>
      </c>
      <c r="R101" s="38" t="n">
        <v>85.93</v>
      </c>
      <c r="S101" s="38" t="n">
        <v>0</v>
      </c>
      <c r="T101" s="38" t="n">
        <v>29.35</v>
      </c>
      <c r="U101" s="55" t="n">
        <v>5.41</v>
      </c>
      <c r="V101" s="38" t="n">
        <v>26.72</v>
      </c>
      <c r="W101" s="38" t="n">
        <v>61.48</v>
      </c>
      <c r="X101" s="38" t="n">
        <v>2821.41</v>
      </c>
      <c r="Y101" s="38" t="n">
        <v>2821.41</v>
      </c>
      <c r="Z101" s="55" t="n">
        <v>0</v>
      </c>
    </row>
    <row r="102" customFormat="false" ht="15" hidden="false" customHeight="false" outlineLevel="0" collapsed="false">
      <c r="A102" s="45" t="s">
        <v>35</v>
      </c>
      <c r="B102" s="45" t="s">
        <v>338</v>
      </c>
      <c r="C102" s="47" t="n">
        <v>1400</v>
      </c>
      <c r="D102" s="45" t="s">
        <v>334</v>
      </c>
      <c r="E102" s="45" t="s">
        <v>320</v>
      </c>
      <c r="F102" s="46" t="n">
        <v>1107.15</v>
      </c>
      <c r="G102" s="46" t="n">
        <v>437.03</v>
      </c>
      <c r="H102" s="46" t="n">
        <v>25.26</v>
      </c>
      <c r="I102" s="46" t="n">
        <v>0</v>
      </c>
      <c r="J102" s="46" t="n">
        <v>1.47</v>
      </c>
      <c r="K102" s="46" t="n">
        <v>0</v>
      </c>
      <c r="L102" s="46" t="n">
        <v>415.66</v>
      </c>
      <c r="M102" s="46" t="n">
        <v>275.89</v>
      </c>
      <c r="N102" s="46" t="n">
        <v>375.53</v>
      </c>
      <c r="O102" s="46" t="n">
        <v>8.64</v>
      </c>
      <c r="P102" s="46" t="n">
        <v>48.24</v>
      </c>
      <c r="Q102" s="46" t="n">
        <v>52.11</v>
      </c>
      <c r="R102" s="46" t="n">
        <v>71.21</v>
      </c>
      <c r="S102" s="46" t="n">
        <v>0</v>
      </c>
      <c r="T102" s="46" t="n">
        <v>25.42</v>
      </c>
      <c r="U102" s="56" t="n">
        <v>5.41</v>
      </c>
      <c r="V102" s="46" t="n">
        <v>26.72</v>
      </c>
      <c r="W102" s="46" t="n">
        <v>57.55</v>
      </c>
      <c r="X102" s="46" t="n">
        <v>2875.74</v>
      </c>
      <c r="Y102" s="46" t="n">
        <v>2875.74</v>
      </c>
      <c r="Z102" s="56" t="n">
        <v>0</v>
      </c>
    </row>
    <row r="103" customFormat="false" ht="15" hidden="false" customHeight="false" outlineLevel="0" collapsed="false">
      <c r="A103" s="37" t="s">
        <v>39</v>
      </c>
      <c r="B103" s="37" t="s">
        <v>338</v>
      </c>
      <c r="C103" s="39" t="n">
        <v>367.5</v>
      </c>
      <c r="D103" s="37" t="s">
        <v>334</v>
      </c>
      <c r="E103" s="37" t="s">
        <v>320</v>
      </c>
      <c r="F103" s="38" t="n">
        <v>913.75</v>
      </c>
      <c r="G103" s="38" t="n">
        <v>454.31</v>
      </c>
      <c r="H103" s="38" t="n">
        <v>27.13</v>
      </c>
      <c r="I103" s="38" t="n">
        <v>0</v>
      </c>
      <c r="J103" s="38" t="n">
        <v>2.6</v>
      </c>
      <c r="K103" s="38" t="n">
        <v>0</v>
      </c>
      <c r="L103" s="38" t="n">
        <v>475</v>
      </c>
      <c r="M103" s="38" t="n">
        <v>318.28</v>
      </c>
      <c r="N103" s="38" t="n">
        <v>450.96</v>
      </c>
      <c r="O103" s="38" t="n">
        <v>13.93</v>
      </c>
      <c r="P103" s="38" t="n">
        <v>69.86</v>
      </c>
      <c r="Q103" s="38" t="n">
        <v>83.98</v>
      </c>
      <c r="R103" s="38" t="n">
        <v>121.58</v>
      </c>
      <c r="S103" s="38" t="n">
        <v>0</v>
      </c>
      <c r="T103" s="38" t="n">
        <v>10.83</v>
      </c>
      <c r="U103" s="55" t="n">
        <v>5.41</v>
      </c>
      <c r="V103" s="38" t="n">
        <v>26.72</v>
      </c>
      <c r="W103" s="38" t="n">
        <v>42.96</v>
      </c>
      <c r="X103" s="38" t="n">
        <v>2974.35</v>
      </c>
      <c r="Y103" s="38" t="n">
        <v>2974.35</v>
      </c>
      <c r="Z103" s="55" t="n">
        <v>0</v>
      </c>
    </row>
    <row r="104" customFormat="false" ht="15" hidden="false" customHeight="false" outlineLevel="0" collapsed="false">
      <c r="A104" s="45" t="s">
        <v>43</v>
      </c>
      <c r="B104" s="45" t="s">
        <v>338</v>
      </c>
      <c r="C104" s="47" t="n">
        <v>1242.5</v>
      </c>
      <c r="D104" s="45" t="s">
        <v>334</v>
      </c>
      <c r="E104" s="45" t="s">
        <v>320</v>
      </c>
      <c r="F104" s="46" t="n">
        <v>1104.02</v>
      </c>
      <c r="G104" s="46" t="n">
        <v>539.56</v>
      </c>
      <c r="H104" s="46" t="n">
        <v>25.59</v>
      </c>
      <c r="I104" s="46" t="n">
        <v>0</v>
      </c>
      <c r="J104" s="46" t="n">
        <v>1.71</v>
      </c>
      <c r="K104" s="46" t="n">
        <v>0</v>
      </c>
      <c r="L104" s="46" t="n">
        <v>418.14</v>
      </c>
      <c r="M104" s="46" t="n">
        <v>277.54</v>
      </c>
      <c r="N104" s="46" t="n">
        <v>379.13</v>
      </c>
      <c r="O104" s="46" t="n">
        <v>8.96</v>
      </c>
      <c r="P104" s="46" t="n">
        <v>49.52</v>
      </c>
      <c r="Q104" s="46" t="n">
        <v>54</v>
      </c>
      <c r="R104" s="46" t="n">
        <v>74.69</v>
      </c>
      <c r="S104" s="46" t="n">
        <v>0</v>
      </c>
      <c r="T104" s="46" t="n">
        <v>24.87</v>
      </c>
      <c r="U104" s="56" t="n">
        <v>5.41</v>
      </c>
      <c r="V104" s="46" t="n">
        <v>26.72</v>
      </c>
      <c r="W104" s="46" t="n">
        <v>57</v>
      </c>
      <c r="X104" s="46" t="n">
        <v>2989.87</v>
      </c>
      <c r="Y104" s="46" t="n">
        <v>2989.87</v>
      </c>
      <c r="Z104" s="56" t="n">
        <v>0</v>
      </c>
    </row>
    <row r="105" customFormat="false" ht="15" hidden="false" customHeight="false" outlineLevel="0" collapsed="false">
      <c r="A105" s="37" t="s">
        <v>46</v>
      </c>
      <c r="B105" s="37" t="s">
        <v>338</v>
      </c>
      <c r="C105" s="39" t="n">
        <v>280</v>
      </c>
      <c r="D105" s="37" t="s">
        <v>30</v>
      </c>
      <c r="E105" s="37" t="s">
        <v>320</v>
      </c>
      <c r="F105" s="38" t="n">
        <v>1323.7</v>
      </c>
      <c r="G105" s="38" t="n">
        <v>257.47</v>
      </c>
      <c r="H105" s="38" t="n">
        <v>22.25</v>
      </c>
      <c r="I105" s="38" t="n">
        <v>62.48</v>
      </c>
      <c r="J105" s="38" t="n">
        <v>0</v>
      </c>
      <c r="K105" s="38" t="n">
        <v>0</v>
      </c>
      <c r="L105" s="38" t="n">
        <v>394.48</v>
      </c>
      <c r="M105" s="38" t="n">
        <v>261.83</v>
      </c>
      <c r="N105" s="38" t="n">
        <v>394.27</v>
      </c>
      <c r="O105" s="38" t="n">
        <v>12.7</v>
      </c>
      <c r="P105" s="38" t="n">
        <v>61.64</v>
      </c>
      <c r="Q105" s="38" t="n">
        <v>88.06</v>
      </c>
      <c r="R105" s="38" t="n">
        <v>135.55</v>
      </c>
      <c r="S105" s="38" t="n">
        <v>0</v>
      </c>
      <c r="T105" s="38" t="n">
        <v>19.93</v>
      </c>
      <c r="U105" s="55" t="n">
        <v>5.41</v>
      </c>
      <c r="V105" s="38" t="n">
        <v>26.72</v>
      </c>
      <c r="W105" s="38" t="n">
        <v>52.06</v>
      </c>
      <c r="X105" s="38" t="n">
        <v>3066.5</v>
      </c>
      <c r="Y105" s="38" t="n">
        <v>3066.5</v>
      </c>
      <c r="Z105" s="55" t="n">
        <v>0</v>
      </c>
    </row>
    <row r="106" customFormat="false" ht="15" hidden="false" customHeight="false" outlineLevel="0" collapsed="false">
      <c r="A106" s="45" t="s">
        <v>50</v>
      </c>
      <c r="B106" s="45" t="s">
        <v>338</v>
      </c>
      <c r="C106" s="47" t="n">
        <v>490</v>
      </c>
      <c r="D106" s="45" t="s">
        <v>334</v>
      </c>
      <c r="E106" s="45" t="s">
        <v>320</v>
      </c>
      <c r="F106" s="46" t="n">
        <v>987.41</v>
      </c>
      <c r="G106" s="46" t="n">
        <v>488.91</v>
      </c>
      <c r="H106" s="46" t="n">
        <v>26.71</v>
      </c>
      <c r="I106" s="46" t="n">
        <v>0</v>
      </c>
      <c r="J106" s="46" t="n">
        <v>2.49</v>
      </c>
      <c r="K106" s="46" t="n">
        <v>0</v>
      </c>
      <c r="L106" s="46" t="n">
        <v>460.53</v>
      </c>
      <c r="M106" s="46" t="n">
        <v>307.88</v>
      </c>
      <c r="N106" s="46" t="n">
        <v>432.47</v>
      </c>
      <c r="O106" s="46" t="n">
        <v>12.54</v>
      </c>
      <c r="P106" s="46" t="n">
        <v>64.35</v>
      </c>
      <c r="Q106" s="46" t="n">
        <v>150.14</v>
      </c>
      <c r="R106" s="46" t="n">
        <v>108.37</v>
      </c>
      <c r="S106" s="46" t="n">
        <v>0</v>
      </c>
      <c r="T106" s="46" t="n">
        <v>27.07</v>
      </c>
      <c r="U106" s="56" t="n">
        <v>5.41</v>
      </c>
      <c r="V106" s="46" t="n">
        <v>26.72</v>
      </c>
      <c r="W106" s="46" t="n">
        <v>59.2</v>
      </c>
      <c r="X106" s="46" t="n">
        <v>3101</v>
      </c>
      <c r="Y106" s="46" t="n">
        <v>3101</v>
      </c>
      <c r="Z106" s="56" t="n">
        <v>0</v>
      </c>
    </row>
    <row r="107" customFormat="false" ht="15" hidden="false" customHeight="false" outlineLevel="0" collapsed="false">
      <c r="A107" s="37" t="s">
        <v>55</v>
      </c>
      <c r="B107" s="37" t="s">
        <v>338</v>
      </c>
      <c r="C107" s="39" t="n">
        <v>350</v>
      </c>
      <c r="D107" s="37" t="s">
        <v>334</v>
      </c>
      <c r="E107" s="37" t="s">
        <v>320</v>
      </c>
      <c r="F107" s="38" t="n">
        <v>1119.74</v>
      </c>
      <c r="G107" s="38" t="n">
        <v>442.67</v>
      </c>
      <c r="H107" s="38" t="n">
        <v>25.62</v>
      </c>
      <c r="I107" s="38" t="n">
        <v>0</v>
      </c>
      <c r="J107" s="38" t="n">
        <v>1.67</v>
      </c>
      <c r="K107" s="38" t="n">
        <v>0</v>
      </c>
      <c r="L107" s="38" t="n">
        <v>447.98</v>
      </c>
      <c r="M107" s="38" t="n">
        <v>297.59</v>
      </c>
      <c r="N107" s="38" t="n">
        <v>422.27</v>
      </c>
      <c r="O107" s="38" t="n">
        <v>13.18</v>
      </c>
      <c r="P107" s="38" t="n">
        <v>65.86</v>
      </c>
      <c r="Q107" s="38" t="n">
        <v>157.86</v>
      </c>
      <c r="R107" s="38" t="n">
        <v>123.98</v>
      </c>
      <c r="S107" s="38" t="n">
        <v>0</v>
      </c>
      <c r="T107" s="38" t="n">
        <v>15.11</v>
      </c>
      <c r="U107" s="55" t="n">
        <v>5.41</v>
      </c>
      <c r="V107" s="38" t="n">
        <v>26.72</v>
      </c>
      <c r="W107" s="38" t="n">
        <v>47.24</v>
      </c>
      <c r="X107" s="38" t="n">
        <v>3165.67</v>
      </c>
      <c r="Y107" s="38" t="n">
        <v>3165.67</v>
      </c>
      <c r="Z107" s="55" t="n">
        <v>0</v>
      </c>
    </row>
    <row r="108" customFormat="false" ht="15" hidden="false" customHeight="false" outlineLevel="0" collapsed="false">
      <c r="A108" s="45" t="s">
        <v>59</v>
      </c>
      <c r="B108" s="45" t="s">
        <v>338</v>
      </c>
      <c r="C108" s="47" t="n">
        <v>252</v>
      </c>
      <c r="D108" s="45" t="s">
        <v>30</v>
      </c>
      <c r="E108" s="45" t="s">
        <v>320</v>
      </c>
      <c r="F108" s="46" t="n">
        <v>80.81</v>
      </c>
      <c r="G108" s="46" t="n">
        <v>852.64</v>
      </c>
      <c r="H108" s="46" t="n">
        <v>40.21</v>
      </c>
      <c r="I108" s="46" t="n">
        <v>513.86</v>
      </c>
      <c r="J108" s="46" t="n">
        <v>0</v>
      </c>
      <c r="K108" s="46" t="n">
        <v>130.68</v>
      </c>
      <c r="L108" s="46" t="n">
        <v>442.85</v>
      </c>
      <c r="M108" s="46" t="n">
        <v>298.47</v>
      </c>
      <c r="N108" s="46" t="n">
        <v>462.89</v>
      </c>
      <c r="O108" s="46" t="n">
        <v>14.86</v>
      </c>
      <c r="P108" s="46" t="n">
        <v>71.53</v>
      </c>
      <c r="Q108" s="46" t="n">
        <v>103.06</v>
      </c>
      <c r="R108" s="46" t="n">
        <v>141.39</v>
      </c>
      <c r="S108" s="46" t="n">
        <v>0</v>
      </c>
      <c r="T108" s="46" t="n">
        <v>13.54</v>
      </c>
      <c r="U108" s="56" t="n">
        <v>5.41</v>
      </c>
      <c r="V108" s="46" t="n">
        <v>26.72</v>
      </c>
      <c r="W108" s="46" t="n">
        <v>45.67</v>
      </c>
      <c r="X108" s="46" t="n">
        <v>3198.92</v>
      </c>
      <c r="Y108" s="46" t="n">
        <v>3198.92</v>
      </c>
      <c r="Z108" s="56" t="n">
        <v>0</v>
      </c>
    </row>
    <row r="109" customFormat="false" ht="15" hidden="false" customHeight="false" outlineLevel="0" collapsed="false">
      <c r="A109" s="37" t="s">
        <v>63</v>
      </c>
      <c r="B109" s="37" t="s">
        <v>338</v>
      </c>
      <c r="C109" s="39" t="n">
        <v>220.5</v>
      </c>
      <c r="D109" s="37" t="s">
        <v>334</v>
      </c>
      <c r="E109" s="37" t="s">
        <v>320</v>
      </c>
      <c r="F109" s="38" t="n">
        <v>1371.76</v>
      </c>
      <c r="G109" s="38" t="n">
        <v>194.96</v>
      </c>
      <c r="H109" s="38" t="n">
        <v>23.53</v>
      </c>
      <c r="I109" s="38" t="n">
        <v>0</v>
      </c>
      <c r="J109" s="38" t="n">
        <v>0.81</v>
      </c>
      <c r="K109" s="38" t="n">
        <v>0</v>
      </c>
      <c r="L109" s="38" t="n">
        <v>422.85</v>
      </c>
      <c r="M109" s="38" t="n">
        <v>281.13</v>
      </c>
      <c r="N109" s="38" t="n">
        <v>446.46</v>
      </c>
      <c r="O109" s="38" t="n">
        <v>14.3</v>
      </c>
      <c r="P109" s="38" t="n">
        <v>68.35</v>
      </c>
      <c r="Q109" s="38" t="n">
        <v>187.55</v>
      </c>
      <c r="R109" s="38" t="n">
        <v>149.14</v>
      </c>
      <c r="S109" s="38" t="n">
        <v>0</v>
      </c>
      <c r="T109" s="38" t="n">
        <v>13.58</v>
      </c>
      <c r="U109" s="55" t="n">
        <v>5.41</v>
      </c>
      <c r="V109" s="38" t="n">
        <v>26.72</v>
      </c>
      <c r="W109" s="38" t="n">
        <v>45.71</v>
      </c>
      <c r="X109" s="38" t="n">
        <v>3206.56</v>
      </c>
      <c r="Y109" s="38" t="n">
        <v>3206.56</v>
      </c>
      <c r="Z109" s="55" t="n">
        <v>0</v>
      </c>
    </row>
    <row r="110" customFormat="false" ht="15" hidden="false" customHeight="false" outlineLevel="0" collapsed="false">
      <c r="A110" s="45" t="s">
        <v>67</v>
      </c>
      <c r="B110" s="45" t="s">
        <v>338</v>
      </c>
      <c r="C110" s="47" t="n">
        <v>1032.5</v>
      </c>
      <c r="D110" s="45" t="s">
        <v>30</v>
      </c>
      <c r="E110" s="45" t="s">
        <v>320</v>
      </c>
      <c r="F110" s="46" t="n">
        <v>1605.85</v>
      </c>
      <c r="G110" s="46" t="n">
        <v>316.9</v>
      </c>
      <c r="H110" s="46" t="n">
        <v>23.49</v>
      </c>
      <c r="I110" s="46" t="n">
        <v>66.73</v>
      </c>
      <c r="J110" s="46" t="n">
        <v>0</v>
      </c>
      <c r="K110" s="46" t="n">
        <v>0</v>
      </c>
      <c r="L110" s="46" t="n">
        <v>390.67</v>
      </c>
      <c r="M110" s="46" t="n">
        <v>261.38</v>
      </c>
      <c r="N110" s="46" t="n">
        <v>360.54</v>
      </c>
      <c r="O110" s="46" t="n">
        <v>9.15</v>
      </c>
      <c r="P110" s="46" t="n">
        <v>49.29</v>
      </c>
      <c r="Q110" s="46" t="n">
        <v>63.44</v>
      </c>
      <c r="R110" s="46" t="n">
        <v>80.43</v>
      </c>
      <c r="S110" s="46" t="n">
        <v>0</v>
      </c>
      <c r="T110" s="46" t="n">
        <v>13.18</v>
      </c>
      <c r="U110" s="56" t="n">
        <v>5.41</v>
      </c>
      <c r="V110" s="46" t="n">
        <v>26.72</v>
      </c>
      <c r="W110" s="46" t="n">
        <v>45.31</v>
      </c>
      <c r="X110" s="46" t="n">
        <v>3273.18</v>
      </c>
      <c r="Y110" s="46" t="n">
        <v>3273.18</v>
      </c>
      <c r="Z110" s="56" t="n">
        <v>0</v>
      </c>
    </row>
    <row r="111" customFormat="false" ht="15" hidden="false" customHeight="false" outlineLevel="0" collapsed="false">
      <c r="A111" s="37" t="s">
        <v>151</v>
      </c>
      <c r="B111" s="37" t="s">
        <v>338</v>
      </c>
      <c r="C111" s="39" t="n">
        <v>740</v>
      </c>
      <c r="D111" s="37" t="s">
        <v>334</v>
      </c>
      <c r="E111" s="37" t="s">
        <v>320</v>
      </c>
      <c r="F111" s="38" t="n">
        <v>891.48</v>
      </c>
      <c r="G111" s="38" t="n">
        <v>575.68</v>
      </c>
      <c r="H111" s="38" t="n">
        <v>31.41</v>
      </c>
      <c r="I111" s="38" t="n">
        <v>0</v>
      </c>
      <c r="J111" s="38" t="n">
        <v>3.8</v>
      </c>
      <c r="K111" s="38" t="n">
        <v>0</v>
      </c>
      <c r="L111" s="38" t="n">
        <v>533.26</v>
      </c>
      <c r="M111" s="38" t="n">
        <v>364.04</v>
      </c>
      <c r="N111" s="38" t="n">
        <v>505.07</v>
      </c>
      <c r="O111" s="38" t="n">
        <v>13.37</v>
      </c>
      <c r="P111" s="38" t="n">
        <v>70.94</v>
      </c>
      <c r="Q111" s="38" t="n">
        <v>160.14</v>
      </c>
      <c r="R111" s="38" t="n">
        <v>91.89</v>
      </c>
      <c r="S111" s="38" t="n">
        <v>0</v>
      </c>
      <c r="T111" s="38" t="n">
        <v>26.7</v>
      </c>
      <c r="U111" s="55" t="n">
        <v>5.41</v>
      </c>
      <c r="V111" s="38" t="n">
        <v>26.72</v>
      </c>
      <c r="W111" s="38" t="n">
        <v>58.83</v>
      </c>
      <c r="X111" s="38" t="n">
        <v>3299.93</v>
      </c>
      <c r="Y111" s="38" t="n">
        <v>3299.93</v>
      </c>
      <c r="Z111" s="55" t="n">
        <v>0</v>
      </c>
    </row>
    <row r="112" customFormat="false" ht="15" hidden="false" customHeight="false" outlineLevel="0" collapsed="false">
      <c r="A112" s="45" t="s">
        <v>71</v>
      </c>
      <c r="B112" s="45" t="s">
        <v>338</v>
      </c>
      <c r="C112" s="47" t="n">
        <v>341.2</v>
      </c>
      <c r="D112" s="45" t="s">
        <v>334</v>
      </c>
      <c r="E112" s="45" t="s">
        <v>320</v>
      </c>
      <c r="F112" s="46" t="n">
        <v>1163.4</v>
      </c>
      <c r="G112" s="46" t="n">
        <v>568.58</v>
      </c>
      <c r="H112" s="46" t="n">
        <v>25.26</v>
      </c>
      <c r="I112" s="46" t="n">
        <v>0</v>
      </c>
      <c r="J112" s="46" t="n">
        <v>1.48</v>
      </c>
      <c r="K112" s="46" t="n">
        <v>0</v>
      </c>
      <c r="L112" s="46" t="n">
        <v>446.05</v>
      </c>
      <c r="M112" s="46" t="n">
        <v>296.07</v>
      </c>
      <c r="N112" s="46" t="n">
        <v>420.42</v>
      </c>
      <c r="O112" s="46" t="n">
        <v>13.2</v>
      </c>
      <c r="P112" s="46" t="n">
        <v>65.81</v>
      </c>
      <c r="Q112" s="46" t="n">
        <v>158.05</v>
      </c>
      <c r="R112" s="46" t="n">
        <v>125.24</v>
      </c>
      <c r="S112" s="46" t="n">
        <v>0</v>
      </c>
      <c r="T112" s="46" t="n">
        <v>10.6</v>
      </c>
      <c r="U112" s="56" t="n">
        <v>5.41</v>
      </c>
      <c r="V112" s="46" t="n">
        <v>26.72</v>
      </c>
      <c r="W112" s="46" t="n">
        <v>42.73</v>
      </c>
      <c r="X112" s="46" t="n">
        <v>3326.3</v>
      </c>
      <c r="Y112" s="46" t="n">
        <v>3326.3</v>
      </c>
      <c r="Z112" s="56" t="n">
        <v>0</v>
      </c>
    </row>
    <row r="113" customFormat="false" ht="15" hidden="false" customHeight="false" outlineLevel="0" collapsed="false">
      <c r="A113" s="37" t="s">
        <v>75</v>
      </c>
      <c r="B113" s="37" t="s">
        <v>338</v>
      </c>
      <c r="C113" s="39" t="n">
        <v>217</v>
      </c>
      <c r="D113" s="37" t="s">
        <v>30</v>
      </c>
      <c r="E113" s="37" t="s">
        <v>320</v>
      </c>
      <c r="F113" s="38" t="n">
        <v>1388.03</v>
      </c>
      <c r="G113" s="38" t="n">
        <v>304.86</v>
      </c>
      <c r="H113" s="38" t="n">
        <v>24</v>
      </c>
      <c r="I113" s="38" t="n">
        <v>70.82</v>
      </c>
      <c r="J113" s="38" t="n">
        <v>0</v>
      </c>
      <c r="K113" s="38" t="n">
        <v>0</v>
      </c>
      <c r="L113" s="38" t="n">
        <v>431.77</v>
      </c>
      <c r="M113" s="38" t="n">
        <v>289.74</v>
      </c>
      <c r="N113" s="38" t="n">
        <v>468.58</v>
      </c>
      <c r="O113" s="38" t="n">
        <v>14.98</v>
      </c>
      <c r="P113" s="38" t="n">
        <v>71.23</v>
      </c>
      <c r="Q113" s="38" t="n">
        <v>103.86</v>
      </c>
      <c r="R113" s="38" t="n">
        <v>150.1</v>
      </c>
      <c r="S113" s="38" t="n">
        <v>0</v>
      </c>
      <c r="T113" s="38" t="n">
        <v>23.34</v>
      </c>
      <c r="U113" s="55" t="n">
        <v>5.41</v>
      </c>
      <c r="V113" s="38" t="n">
        <v>26.72</v>
      </c>
      <c r="W113" s="38" t="n">
        <v>55.47</v>
      </c>
      <c r="X113" s="38" t="n">
        <v>3373.44</v>
      </c>
      <c r="Y113" s="38" t="n">
        <v>3373.44</v>
      </c>
      <c r="Z113" s="55" t="n">
        <v>0</v>
      </c>
    </row>
    <row r="114" customFormat="false" ht="15" hidden="false" customHeight="false" outlineLevel="0" collapsed="false">
      <c r="A114" s="45" t="s">
        <v>79</v>
      </c>
      <c r="B114" s="45" t="s">
        <v>338</v>
      </c>
      <c r="C114" s="47" t="n">
        <v>185.5</v>
      </c>
      <c r="D114" s="45" t="s">
        <v>30</v>
      </c>
      <c r="E114" s="45" t="s">
        <v>320</v>
      </c>
      <c r="F114" s="46" t="n">
        <v>1472.77</v>
      </c>
      <c r="G114" s="46" t="n">
        <v>289</v>
      </c>
      <c r="H114" s="46" t="n">
        <v>22.99</v>
      </c>
      <c r="I114" s="46" t="n">
        <v>63.57</v>
      </c>
      <c r="J114" s="46" t="n">
        <v>0</v>
      </c>
      <c r="K114" s="46" t="n">
        <v>0</v>
      </c>
      <c r="L114" s="46" t="n">
        <v>416.36</v>
      </c>
      <c r="M114" s="46" t="n">
        <v>277.7</v>
      </c>
      <c r="N114" s="46" t="n">
        <v>469.26</v>
      </c>
      <c r="O114" s="46" t="n">
        <v>14.93</v>
      </c>
      <c r="P114" s="46" t="n">
        <v>70.11</v>
      </c>
      <c r="Q114" s="46" t="n">
        <v>103.52</v>
      </c>
      <c r="R114" s="46" t="n">
        <v>159.82</v>
      </c>
      <c r="S114" s="46" t="n">
        <v>0</v>
      </c>
      <c r="T114" s="46" t="n">
        <v>25.85</v>
      </c>
      <c r="U114" s="56" t="n">
        <v>5.41</v>
      </c>
      <c r="V114" s="46" t="n">
        <v>26.72</v>
      </c>
      <c r="W114" s="46" t="n">
        <v>57.98</v>
      </c>
      <c r="X114" s="46" t="n">
        <v>3418.02</v>
      </c>
      <c r="Y114" s="46" t="n">
        <v>3418.02</v>
      </c>
      <c r="Z114" s="56" t="n">
        <v>0</v>
      </c>
    </row>
    <row r="115" customFormat="false" ht="15" hidden="false" customHeight="false" outlineLevel="0" collapsed="false">
      <c r="A115" s="37" t="s">
        <v>146</v>
      </c>
      <c r="B115" s="37" t="s">
        <v>338</v>
      </c>
      <c r="C115" s="39" t="n">
        <v>740</v>
      </c>
      <c r="D115" s="37" t="s">
        <v>334</v>
      </c>
      <c r="E115" s="37" t="s">
        <v>320</v>
      </c>
      <c r="F115" s="38" t="n">
        <v>933.4</v>
      </c>
      <c r="G115" s="38" t="n">
        <v>606.88</v>
      </c>
      <c r="H115" s="38" t="n">
        <v>32.53</v>
      </c>
      <c r="I115" s="38" t="n">
        <v>0</v>
      </c>
      <c r="J115" s="38" t="n">
        <v>4.01</v>
      </c>
      <c r="K115" s="38" t="n">
        <v>0</v>
      </c>
      <c r="L115" s="38" t="n">
        <v>552.99</v>
      </c>
      <c r="M115" s="38" t="n">
        <v>379</v>
      </c>
      <c r="N115" s="38" t="n">
        <v>525.83</v>
      </c>
      <c r="O115" s="38" t="n">
        <v>13.92</v>
      </c>
      <c r="P115" s="38" t="n">
        <v>73.86</v>
      </c>
      <c r="Q115" s="38" t="n">
        <v>166.73</v>
      </c>
      <c r="R115" s="38" t="n">
        <v>91.89</v>
      </c>
      <c r="S115" s="38" t="n">
        <v>0</v>
      </c>
      <c r="T115" s="38" t="n">
        <v>28.91</v>
      </c>
      <c r="U115" s="55" t="n">
        <v>5.41</v>
      </c>
      <c r="V115" s="38" t="n">
        <v>26.72</v>
      </c>
      <c r="W115" s="38" t="n">
        <v>61.04</v>
      </c>
      <c r="X115" s="38" t="n">
        <v>3442.08</v>
      </c>
      <c r="Y115" s="38" t="n">
        <v>3442.08</v>
      </c>
      <c r="Z115" s="55" t="n">
        <v>0</v>
      </c>
    </row>
    <row r="116" customFormat="false" ht="15" hidden="false" customHeight="false" outlineLevel="0" collapsed="false">
      <c r="A116" s="45" t="s">
        <v>83</v>
      </c>
      <c r="B116" s="45" t="s">
        <v>338</v>
      </c>
      <c r="C116" s="47" t="n">
        <v>213.5</v>
      </c>
      <c r="D116" s="45" t="s">
        <v>334</v>
      </c>
      <c r="E116" s="45" t="s">
        <v>320</v>
      </c>
      <c r="F116" s="46" t="n">
        <v>1181.2</v>
      </c>
      <c r="G116" s="46" t="n">
        <v>581.55</v>
      </c>
      <c r="H116" s="46" t="n">
        <v>25.96</v>
      </c>
      <c r="I116" s="46" t="n">
        <v>0</v>
      </c>
      <c r="J116" s="46" t="n">
        <v>1.54</v>
      </c>
      <c r="K116" s="46" t="n">
        <v>0</v>
      </c>
      <c r="L116" s="46" t="n">
        <v>469.53</v>
      </c>
      <c r="M116" s="46" t="n">
        <v>312.92</v>
      </c>
      <c r="N116" s="46" t="n">
        <v>488.85</v>
      </c>
      <c r="O116" s="46" t="n">
        <v>15.68</v>
      </c>
      <c r="P116" s="46" t="n">
        <v>75.33</v>
      </c>
      <c r="Q116" s="46" t="n">
        <v>187.83</v>
      </c>
      <c r="R116" s="46" t="n">
        <v>151.08</v>
      </c>
      <c r="S116" s="46" t="n">
        <v>0</v>
      </c>
      <c r="T116" s="46" t="n">
        <v>0</v>
      </c>
      <c r="U116" s="56" t="n">
        <v>5.41</v>
      </c>
      <c r="V116" s="46" t="n">
        <v>26.72</v>
      </c>
      <c r="W116" s="46" t="n">
        <v>32.13</v>
      </c>
      <c r="X116" s="46" t="n">
        <v>3523.61</v>
      </c>
      <c r="Y116" s="46" t="n">
        <v>3523.61</v>
      </c>
      <c r="Z116" s="56" t="n">
        <v>0</v>
      </c>
    </row>
    <row r="117" customFormat="false" ht="15" hidden="false" customHeight="false" outlineLevel="0" collapsed="false">
      <c r="A117" s="37" t="s">
        <v>86</v>
      </c>
      <c r="B117" s="37" t="s">
        <v>338</v>
      </c>
      <c r="C117" s="39" t="n">
        <v>297.5</v>
      </c>
      <c r="D117" s="37" t="s">
        <v>334</v>
      </c>
      <c r="E117" s="37" t="s">
        <v>320</v>
      </c>
      <c r="F117" s="38" t="n">
        <v>1277.27</v>
      </c>
      <c r="G117" s="38" t="n">
        <v>513.63</v>
      </c>
      <c r="H117" s="38" t="n">
        <v>27.42</v>
      </c>
      <c r="I117" s="38" t="n">
        <v>0</v>
      </c>
      <c r="J117" s="38" t="n">
        <v>1.91</v>
      </c>
      <c r="K117" s="38" t="n">
        <v>0</v>
      </c>
      <c r="L117" s="38" t="n">
        <v>482.7</v>
      </c>
      <c r="M117" s="38" t="n">
        <v>323.68</v>
      </c>
      <c r="N117" s="38" t="n">
        <v>461.52</v>
      </c>
      <c r="O117" s="38" t="n">
        <v>14.93</v>
      </c>
      <c r="P117" s="38" t="n">
        <v>73.64</v>
      </c>
      <c r="Q117" s="38" t="n">
        <v>178.82</v>
      </c>
      <c r="R117" s="38" t="n">
        <v>132.3</v>
      </c>
      <c r="S117" s="38" t="n">
        <v>0</v>
      </c>
      <c r="T117" s="38" t="n">
        <v>13.24</v>
      </c>
      <c r="U117" s="55" t="n">
        <v>5.41</v>
      </c>
      <c r="V117" s="38" t="n">
        <v>26.72</v>
      </c>
      <c r="W117" s="38" t="n">
        <v>45.37</v>
      </c>
      <c r="X117" s="38" t="n">
        <v>3533.21</v>
      </c>
      <c r="Y117" s="38" t="n">
        <v>3533.21</v>
      </c>
      <c r="Z117" s="55" t="n">
        <v>0</v>
      </c>
    </row>
    <row r="118" customFormat="false" ht="15" hidden="false" customHeight="false" outlineLevel="0" collapsed="false">
      <c r="A118" s="45" t="s">
        <v>155</v>
      </c>
      <c r="B118" s="45" t="s">
        <v>338</v>
      </c>
      <c r="C118" s="47" t="n">
        <v>740</v>
      </c>
      <c r="D118" s="45" t="s">
        <v>334</v>
      </c>
      <c r="E118" s="45" t="s">
        <v>320</v>
      </c>
      <c r="F118" s="46" t="n">
        <v>812.8</v>
      </c>
      <c r="G118" s="46" t="n">
        <v>687.14</v>
      </c>
      <c r="H118" s="46" t="n">
        <v>34.81</v>
      </c>
      <c r="I118" s="46" t="n">
        <v>0</v>
      </c>
      <c r="J118" s="46" t="n">
        <v>4.58</v>
      </c>
      <c r="K118" s="46" t="n">
        <v>0</v>
      </c>
      <c r="L118" s="46" t="n">
        <v>590.62</v>
      </c>
      <c r="M118" s="46" t="n">
        <v>407.51</v>
      </c>
      <c r="N118" s="46" t="n">
        <v>565.38</v>
      </c>
      <c r="O118" s="46" t="n">
        <v>14.97</v>
      </c>
      <c r="P118" s="46" t="n">
        <v>79.41</v>
      </c>
      <c r="Q118" s="46" t="n">
        <v>179.27</v>
      </c>
      <c r="R118" s="46" t="n">
        <v>91.89</v>
      </c>
      <c r="S118" s="46" t="n">
        <v>0</v>
      </c>
      <c r="T118" s="46" t="n">
        <v>65.35</v>
      </c>
      <c r="U118" s="56" t="n">
        <v>5.41</v>
      </c>
      <c r="V118" s="46" t="n">
        <v>26.72</v>
      </c>
      <c r="W118" s="46" t="n">
        <v>97.48</v>
      </c>
      <c r="X118" s="46" t="n">
        <v>3565.87</v>
      </c>
      <c r="Y118" s="46" t="n">
        <v>3565.87</v>
      </c>
      <c r="Z118" s="56" t="n">
        <v>0</v>
      </c>
    </row>
    <row r="119" customFormat="false" ht="15" hidden="false" customHeight="false" outlineLevel="0" collapsed="false">
      <c r="A119" s="37" t="s">
        <v>90</v>
      </c>
      <c r="B119" s="37" t="s">
        <v>338</v>
      </c>
      <c r="C119" s="39" t="n">
        <v>173.2</v>
      </c>
      <c r="D119" s="37" t="s">
        <v>334</v>
      </c>
      <c r="E119" s="37" t="s">
        <v>320</v>
      </c>
      <c r="F119" s="38" t="n">
        <v>1487.27</v>
      </c>
      <c r="G119" s="38" t="n">
        <v>215.83</v>
      </c>
      <c r="H119" s="38" t="n">
        <v>25.53</v>
      </c>
      <c r="I119" s="38" t="n">
        <v>0</v>
      </c>
      <c r="J119" s="38" t="n">
        <v>0.95</v>
      </c>
      <c r="K119" s="38" t="n">
        <v>0</v>
      </c>
      <c r="L119" s="38" t="n">
        <v>464.96</v>
      </c>
      <c r="M119" s="38" t="n">
        <v>312.7</v>
      </c>
      <c r="N119" s="38" t="n">
        <v>531.3</v>
      </c>
      <c r="O119" s="38" t="n">
        <v>16.89</v>
      </c>
      <c r="P119" s="38" t="n">
        <v>79.21</v>
      </c>
      <c r="Q119" s="38" t="n">
        <v>221.57</v>
      </c>
      <c r="R119" s="38" t="n">
        <v>164.25</v>
      </c>
      <c r="S119" s="38" t="n">
        <v>0</v>
      </c>
      <c r="T119" s="38" t="n">
        <v>27.56</v>
      </c>
      <c r="U119" s="55" t="n">
        <v>5.41</v>
      </c>
      <c r="V119" s="38" t="n">
        <v>26.72</v>
      </c>
      <c r="W119" s="38" t="n">
        <v>59.69</v>
      </c>
      <c r="X119" s="38" t="n">
        <v>3580.15</v>
      </c>
      <c r="Y119" s="38" t="n">
        <v>3580.15</v>
      </c>
      <c r="Z119" s="55" t="n">
        <v>0</v>
      </c>
    </row>
    <row r="120" customFormat="false" ht="15" hidden="false" customHeight="false" outlineLevel="0" collapsed="false">
      <c r="A120" s="45" t="s">
        <v>94</v>
      </c>
      <c r="B120" s="45" t="s">
        <v>338</v>
      </c>
      <c r="C120" s="47" t="n">
        <v>306.2</v>
      </c>
      <c r="D120" s="45" t="s">
        <v>334</v>
      </c>
      <c r="E120" s="45" t="s">
        <v>320</v>
      </c>
      <c r="F120" s="46" t="n">
        <v>1624.88</v>
      </c>
      <c r="G120" s="46" t="n">
        <v>238.16</v>
      </c>
      <c r="H120" s="46" t="n">
        <v>26.64</v>
      </c>
      <c r="I120" s="46" t="n">
        <v>0</v>
      </c>
      <c r="J120" s="46" t="n">
        <v>1.03</v>
      </c>
      <c r="K120" s="46" t="n">
        <v>0</v>
      </c>
      <c r="L120" s="46" t="n">
        <v>471.98</v>
      </c>
      <c r="M120" s="46" t="n">
        <v>319.19</v>
      </c>
      <c r="N120" s="46" t="n">
        <v>462.37</v>
      </c>
      <c r="O120" s="46" t="n">
        <v>14.95</v>
      </c>
      <c r="P120" s="46" t="n">
        <v>73.39</v>
      </c>
      <c r="Q120" s="46" t="n">
        <v>196.15</v>
      </c>
      <c r="R120" s="46" t="n">
        <v>130.78</v>
      </c>
      <c r="S120" s="46" t="n">
        <v>0</v>
      </c>
      <c r="T120" s="46" t="n">
        <v>11.18</v>
      </c>
      <c r="U120" s="56" t="n">
        <v>5.41</v>
      </c>
      <c r="V120" s="46" t="n">
        <v>26.72</v>
      </c>
      <c r="W120" s="46" t="n">
        <v>43.31</v>
      </c>
      <c r="X120" s="46" t="n">
        <v>3602.85</v>
      </c>
      <c r="Y120" s="46" t="n">
        <v>3602.85</v>
      </c>
      <c r="Z120" s="56" t="n">
        <v>0</v>
      </c>
    </row>
    <row r="121" customFormat="false" ht="15" hidden="false" customHeight="false" outlineLevel="0" collapsed="false">
      <c r="A121" s="37" t="s">
        <v>98</v>
      </c>
      <c r="B121" s="37" t="s">
        <v>338</v>
      </c>
      <c r="C121" s="39" t="n">
        <v>75.2</v>
      </c>
      <c r="D121" s="37" t="s">
        <v>334</v>
      </c>
      <c r="E121" s="37" t="s">
        <v>320</v>
      </c>
      <c r="F121" s="38" t="n">
        <v>622.93</v>
      </c>
      <c r="G121" s="38" t="n">
        <v>674.11</v>
      </c>
      <c r="H121" s="38" t="n">
        <v>28.34</v>
      </c>
      <c r="I121" s="38" t="n">
        <v>0</v>
      </c>
      <c r="J121" s="38" t="n">
        <v>3.46</v>
      </c>
      <c r="K121" s="38" t="n">
        <v>0</v>
      </c>
      <c r="L121" s="38" t="n">
        <v>537.24</v>
      </c>
      <c r="M121" s="38" t="n">
        <v>362.08</v>
      </c>
      <c r="N121" s="38" t="n">
        <v>757.46</v>
      </c>
      <c r="O121" s="38" t="n">
        <v>23.55</v>
      </c>
      <c r="P121" s="38" t="n">
        <v>104.07</v>
      </c>
      <c r="Q121" s="38" t="n">
        <v>282.06</v>
      </c>
      <c r="R121" s="38" t="n">
        <v>229.28</v>
      </c>
      <c r="S121" s="38" t="n">
        <v>0</v>
      </c>
      <c r="T121" s="38" t="n">
        <v>1.7</v>
      </c>
      <c r="U121" s="55" t="n">
        <v>5.41</v>
      </c>
      <c r="V121" s="38" t="n">
        <v>26.72</v>
      </c>
      <c r="W121" s="38" t="n">
        <v>33.83</v>
      </c>
      <c r="X121" s="38" t="n">
        <v>3658.41</v>
      </c>
      <c r="Y121" s="38" t="n">
        <v>3658.41</v>
      </c>
      <c r="Z121" s="55" t="n">
        <v>0</v>
      </c>
    </row>
    <row r="122" customFormat="false" ht="15" hidden="false" customHeight="false" outlineLevel="0" collapsed="false">
      <c r="A122" s="45" t="s">
        <v>102</v>
      </c>
      <c r="B122" s="45" t="s">
        <v>338</v>
      </c>
      <c r="C122" s="47" t="n">
        <v>129.5</v>
      </c>
      <c r="D122" s="45" t="s">
        <v>334</v>
      </c>
      <c r="E122" s="45" t="s">
        <v>320</v>
      </c>
      <c r="F122" s="46" t="n">
        <v>1317.41</v>
      </c>
      <c r="G122" s="46" t="n">
        <v>433.38</v>
      </c>
      <c r="H122" s="46" t="n">
        <v>27.53</v>
      </c>
      <c r="I122" s="46" t="n">
        <v>0</v>
      </c>
      <c r="J122" s="46" t="n">
        <v>1.69</v>
      </c>
      <c r="K122" s="46" t="n">
        <v>0</v>
      </c>
      <c r="L122" s="46" t="n">
        <v>511.55</v>
      </c>
      <c r="M122" s="46" t="n">
        <v>343.79</v>
      </c>
      <c r="N122" s="46" t="n">
        <v>617.78</v>
      </c>
      <c r="O122" s="46" t="n">
        <v>19.52</v>
      </c>
      <c r="P122" s="46" t="n">
        <v>90.1</v>
      </c>
      <c r="Q122" s="46" t="n">
        <v>233.83</v>
      </c>
      <c r="R122" s="46" t="n">
        <v>184.53</v>
      </c>
      <c r="S122" s="46" t="n">
        <v>0</v>
      </c>
      <c r="T122" s="46" t="n">
        <v>12.03</v>
      </c>
      <c r="U122" s="56" t="n">
        <v>5.41</v>
      </c>
      <c r="V122" s="46" t="n">
        <v>26.72</v>
      </c>
      <c r="W122" s="46" t="n">
        <v>44.16</v>
      </c>
      <c r="X122" s="46" t="n">
        <v>3825.27</v>
      </c>
      <c r="Y122" s="46" t="n">
        <v>3825.27</v>
      </c>
      <c r="Z122" s="56" t="n">
        <v>0</v>
      </c>
    </row>
    <row r="123" customFormat="false" ht="15" hidden="false" customHeight="false" outlineLevel="0" collapsed="false">
      <c r="A123" s="37" t="s">
        <v>106</v>
      </c>
      <c r="B123" s="37" t="s">
        <v>338</v>
      </c>
      <c r="C123" s="39" t="n">
        <v>56.4</v>
      </c>
      <c r="D123" s="37" t="s">
        <v>334</v>
      </c>
      <c r="E123" s="37" t="s">
        <v>320</v>
      </c>
      <c r="F123" s="38" t="n">
        <v>721.36</v>
      </c>
      <c r="G123" s="38" t="n">
        <v>769.31</v>
      </c>
      <c r="H123" s="38" t="n">
        <v>26.6</v>
      </c>
      <c r="I123" s="38" t="n">
        <v>0</v>
      </c>
      <c r="J123" s="38" t="n">
        <v>3.03</v>
      </c>
      <c r="K123" s="38" t="n">
        <v>0</v>
      </c>
      <c r="L123" s="38" t="n">
        <v>513.12</v>
      </c>
      <c r="M123" s="38" t="n">
        <v>343.04</v>
      </c>
      <c r="N123" s="38" t="n">
        <v>778.17</v>
      </c>
      <c r="O123" s="38" t="n">
        <v>23.99</v>
      </c>
      <c r="P123" s="38" t="n">
        <v>103.56</v>
      </c>
      <c r="Q123" s="38" t="n">
        <v>287.28</v>
      </c>
      <c r="R123" s="38" t="n">
        <v>257.4</v>
      </c>
      <c r="S123" s="38" t="n">
        <v>0</v>
      </c>
      <c r="T123" s="38" t="n">
        <v>0.22</v>
      </c>
      <c r="U123" s="55" t="n">
        <v>5.41</v>
      </c>
      <c r="V123" s="38" t="n">
        <v>26.72</v>
      </c>
      <c r="W123" s="38" t="n">
        <v>32.35</v>
      </c>
      <c r="X123" s="38" t="n">
        <v>3859.22</v>
      </c>
      <c r="Y123" s="38" t="n">
        <v>3859.22</v>
      </c>
      <c r="Z123" s="55" t="n">
        <v>0</v>
      </c>
    </row>
    <row r="124" customFormat="false" ht="15" hidden="false" customHeight="false" outlineLevel="0" collapsed="false">
      <c r="A124" s="45" t="s">
        <v>110</v>
      </c>
      <c r="B124" s="45" t="s">
        <v>338</v>
      </c>
      <c r="C124" s="47" t="n">
        <v>140</v>
      </c>
      <c r="D124" s="45" t="s">
        <v>334</v>
      </c>
      <c r="E124" s="45" t="s">
        <v>320</v>
      </c>
      <c r="F124" s="46" t="n">
        <v>1239.62</v>
      </c>
      <c r="G124" s="46" t="n">
        <v>618.82</v>
      </c>
      <c r="H124" s="46" t="n">
        <v>27.61</v>
      </c>
      <c r="I124" s="46" t="n">
        <v>0</v>
      </c>
      <c r="J124" s="46" t="n">
        <v>1.88</v>
      </c>
      <c r="K124" s="46" t="n">
        <v>0</v>
      </c>
      <c r="L124" s="46" t="n">
        <v>506.77</v>
      </c>
      <c r="M124" s="46" t="n">
        <v>340.33</v>
      </c>
      <c r="N124" s="46" t="n">
        <v>598.36</v>
      </c>
      <c r="O124" s="46" t="n">
        <v>18.95</v>
      </c>
      <c r="P124" s="46" t="n">
        <v>88.02</v>
      </c>
      <c r="Q124" s="46" t="n">
        <v>227.01</v>
      </c>
      <c r="R124" s="46" t="n">
        <v>178.86</v>
      </c>
      <c r="S124" s="46" t="n">
        <v>0</v>
      </c>
      <c r="T124" s="46" t="n">
        <v>12.89</v>
      </c>
      <c r="U124" s="56" t="n">
        <v>5.41</v>
      </c>
      <c r="V124" s="46" t="n">
        <v>26.72</v>
      </c>
      <c r="W124" s="46" t="n">
        <v>45.02</v>
      </c>
      <c r="X124" s="46" t="n">
        <v>3891.25</v>
      </c>
      <c r="Y124" s="46" t="n">
        <v>3891.25</v>
      </c>
      <c r="Z124" s="56" t="n">
        <v>0</v>
      </c>
    </row>
    <row r="125" customFormat="false" ht="15" hidden="false" customHeight="false" outlineLevel="0" collapsed="false">
      <c r="A125" s="37" t="s">
        <v>114</v>
      </c>
      <c r="B125" s="37" t="s">
        <v>338</v>
      </c>
      <c r="C125" s="39" t="n">
        <v>98</v>
      </c>
      <c r="D125" s="37" t="s">
        <v>30</v>
      </c>
      <c r="E125" s="37" t="s">
        <v>320</v>
      </c>
      <c r="F125" s="38" t="n">
        <v>1425.66</v>
      </c>
      <c r="G125" s="38" t="n">
        <v>589.38</v>
      </c>
      <c r="H125" s="38" t="n">
        <v>26.91</v>
      </c>
      <c r="I125" s="38" t="n">
        <v>151.77</v>
      </c>
      <c r="J125" s="38" t="n">
        <v>0</v>
      </c>
      <c r="K125" s="38" t="n">
        <v>0</v>
      </c>
      <c r="L125" s="38" t="n">
        <v>505.87</v>
      </c>
      <c r="M125" s="38" t="n">
        <v>344.52</v>
      </c>
      <c r="N125" s="38" t="n">
        <v>696.06</v>
      </c>
      <c r="O125" s="38" t="n">
        <v>21.72</v>
      </c>
      <c r="P125" s="38" t="n">
        <v>96.95</v>
      </c>
      <c r="Q125" s="38" t="n">
        <v>150.65</v>
      </c>
      <c r="R125" s="38" t="n">
        <v>206.29</v>
      </c>
      <c r="S125" s="38" t="n">
        <v>0</v>
      </c>
      <c r="T125" s="38" t="n">
        <v>15.5</v>
      </c>
      <c r="U125" s="55" t="n">
        <v>5.41</v>
      </c>
      <c r="V125" s="38" t="n">
        <v>26.72</v>
      </c>
      <c r="W125" s="38" t="n">
        <v>47.63</v>
      </c>
      <c r="X125" s="38" t="n">
        <v>4263.41</v>
      </c>
      <c r="Y125" s="38" t="n">
        <v>4263.41</v>
      </c>
      <c r="Z125" s="55" t="n">
        <v>0</v>
      </c>
    </row>
    <row r="126" customFormat="false" ht="15" hidden="false" customHeight="false" outlineLevel="0" collapsed="false">
      <c r="A126" s="45" t="s">
        <v>118</v>
      </c>
      <c r="B126" s="45" t="s">
        <v>338</v>
      </c>
      <c r="C126" s="47" t="n">
        <v>56</v>
      </c>
      <c r="D126" s="45" t="s">
        <v>334</v>
      </c>
      <c r="E126" s="45" t="s">
        <v>320</v>
      </c>
      <c r="F126" s="46" t="n">
        <v>1351.23</v>
      </c>
      <c r="G126" s="46" t="n">
        <v>701.18</v>
      </c>
      <c r="H126" s="46" t="n">
        <v>33.03</v>
      </c>
      <c r="I126" s="46" t="n">
        <v>0</v>
      </c>
      <c r="J126" s="46" t="n">
        <v>3.51</v>
      </c>
      <c r="K126" s="46" t="n">
        <v>0</v>
      </c>
      <c r="L126" s="46" t="n">
        <v>638.92</v>
      </c>
      <c r="M126" s="46" t="n">
        <v>438.61</v>
      </c>
      <c r="N126" s="46" t="n">
        <v>996.7</v>
      </c>
      <c r="O126" s="46" t="n">
        <v>30.72</v>
      </c>
      <c r="P126" s="46" t="n">
        <v>132.56</v>
      </c>
      <c r="Q126" s="46" t="n">
        <v>367.88</v>
      </c>
      <c r="R126" s="46" t="n">
        <v>258.04</v>
      </c>
      <c r="S126" s="46" t="n">
        <v>0</v>
      </c>
      <c r="T126" s="46" t="n">
        <v>14.12</v>
      </c>
      <c r="U126" s="56" t="n">
        <v>5.41</v>
      </c>
      <c r="V126" s="46" t="n">
        <v>26.72</v>
      </c>
      <c r="W126" s="46" t="n">
        <v>46.25</v>
      </c>
      <c r="X126" s="46" t="n">
        <v>4998.63</v>
      </c>
      <c r="Y126" s="46" t="n">
        <v>4998.63</v>
      </c>
      <c r="Z126" s="56" t="n">
        <v>0</v>
      </c>
    </row>
    <row r="127" customFormat="false" ht="15" hidden="false" customHeight="false" outlineLevel="0" collapsed="false">
      <c r="A127" s="37" t="s">
        <v>122</v>
      </c>
      <c r="B127" s="37" t="s">
        <v>338</v>
      </c>
      <c r="C127" s="39" t="n">
        <v>29.1</v>
      </c>
      <c r="D127" s="37" t="s">
        <v>334</v>
      </c>
      <c r="E127" s="37" t="s">
        <v>320</v>
      </c>
      <c r="F127" s="38" t="n">
        <v>1184.6</v>
      </c>
      <c r="G127" s="38" t="n">
        <v>763.39</v>
      </c>
      <c r="H127" s="38" t="n">
        <v>31.17</v>
      </c>
      <c r="I127" s="38" t="n">
        <v>0</v>
      </c>
      <c r="J127" s="38" t="n">
        <v>3.25</v>
      </c>
      <c r="K127" s="38" t="n">
        <v>0</v>
      </c>
      <c r="L127" s="38" t="n">
        <v>620.42</v>
      </c>
      <c r="M127" s="38" t="n">
        <v>423.04</v>
      </c>
      <c r="N127" s="38" t="n">
        <v>1155.26</v>
      </c>
      <c r="O127" s="38" t="n">
        <v>34.91</v>
      </c>
      <c r="P127" s="38" t="n">
        <v>142.94</v>
      </c>
      <c r="Q127" s="38" t="n">
        <v>418.09</v>
      </c>
      <c r="R127" s="38" t="n">
        <v>342.06</v>
      </c>
      <c r="S127" s="38" t="n">
        <v>0</v>
      </c>
      <c r="T127" s="38" t="n">
        <v>14.88</v>
      </c>
      <c r="U127" s="55" t="n">
        <v>5.41</v>
      </c>
      <c r="V127" s="38" t="n">
        <v>26.72</v>
      </c>
      <c r="W127" s="38" t="n">
        <v>47.01</v>
      </c>
      <c r="X127" s="38" t="n">
        <v>5166.12</v>
      </c>
      <c r="Y127" s="38" t="n">
        <v>5166.12</v>
      </c>
      <c r="Z127" s="55" t="n">
        <v>0</v>
      </c>
    </row>
    <row r="128" customFormat="false" ht="15" hidden="false" customHeight="false" outlineLevel="0" collapsed="false">
      <c r="A128" s="45" t="s">
        <v>126</v>
      </c>
      <c r="B128" s="45" t="s">
        <v>338</v>
      </c>
      <c r="C128" s="47" t="n">
        <v>19.6</v>
      </c>
      <c r="D128" s="45" t="s">
        <v>334</v>
      </c>
      <c r="E128" s="45" t="s">
        <v>320</v>
      </c>
      <c r="F128" s="46" t="n">
        <v>1909.12</v>
      </c>
      <c r="G128" s="46" t="n">
        <v>224.52</v>
      </c>
      <c r="H128" s="46" t="n">
        <v>27.64</v>
      </c>
      <c r="I128" s="46" t="n">
        <v>0</v>
      </c>
      <c r="J128" s="46" t="n">
        <v>1.11</v>
      </c>
      <c r="K128" s="46" t="n">
        <v>0</v>
      </c>
      <c r="L128" s="46" t="n">
        <v>551.73</v>
      </c>
      <c r="M128" s="46" t="n">
        <v>374.82</v>
      </c>
      <c r="N128" s="46" t="n">
        <v>1054.89</v>
      </c>
      <c r="O128" s="46" t="n">
        <v>31.77</v>
      </c>
      <c r="P128" s="46" t="n">
        <v>128.99</v>
      </c>
      <c r="Q128" s="46" t="n">
        <v>416.78</v>
      </c>
      <c r="R128" s="46" t="n">
        <v>506.98</v>
      </c>
      <c r="S128" s="46" t="n">
        <v>0</v>
      </c>
      <c r="T128" s="46" t="n">
        <v>12.67</v>
      </c>
      <c r="U128" s="56" t="n">
        <v>5.41</v>
      </c>
      <c r="V128" s="46" t="n">
        <v>26.72</v>
      </c>
      <c r="W128" s="46" t="n">
        <v>44.8</v>
      </c>
      <c r="X128" s="46" t="n">
        <v>5273.16</v>
      </c>
      <c r="Y128" s="46" t="n">
        <v>5273.16</v>
      </c>
      <c r="Z128" s="56" t="n">
        <v>0</v>
      </c>
    </row>
    <row r="129" customFormat="false" ht="15" hidden="false" customHeight="false" outlineLevel="0" collapsed="false">
      <c r="A129" s="37" t="s">
        <v>130</v>
      </c>
      <c r="B129" s="37" t="s">
        <v>338</v>
      </c>
      <c r="C129" s="39" t="n">
        <v>9.8</v>
      </c>
      <c r="D129" s="37" t="s">
        <v>334</v>
      </c>
      <c r="E129" s="37" t="s">
        <v>320</v>
      </c>
      <c r="F129" s="38" t="n">
        <v>1395.15</v>
      </c>
      <c r="G129" s="38" t="n">
        <v>562.52</v>
      </c>
      <c r="H129" s="38" t="n">
        <v>25.15</v>
      </c>
      <c r="I129" s="38" t="n">
        <v>0</v>
      </c>
      <c r="J129" s="38" t="n">
        <v>0.95</v>
      </c>
      <c r="K129" s="38" t="n">
        <v>0</v>
      </c>
      <c r="L129" s="38" t="n">
        <v>503.26</v>
      </c>
      <c r="M129" s="38" t="n">
        <v>337.97</v>
      </c>
      <c r="N129" s="38" t="n">
        <v>951.16</v>
      </c>
      <c r="O129" s="38" t="n">
        <v>28.65</v>
      </c>
      <c r="P129" s="38" t="n">
        <v>116.3</v>
      </c>
      <c r="Q129" s="38" t="n">
        <v>375.79</v>
      </c>
      <c r="R129" s="38" t="n">
        <v>1013.95</v>
      </c>
      <c r="S129" s="38" t="n">
        <v>0</v>
      </c>
      <c r="T129" s="38" t="n">
        <v>10.74</v>
      </c>
      <c r="U129" s="55" t="n">
        <v>5.41</v>
      </c>
      <c r="V129" s="38" t="n">
        <v>26.72</v>
      </c>
      <c r="W129" s="38" t="n">
        <v>42.87</v>
      </c>
      <c r="X129" s="38" t="n">
        <v>5353.73</v>
      </c>
      <c r="Y129" s="38" t="n">
        <v>5353.73</v>
      </c>
      <c r="Z129" s="55" t="n">
        <v>0</v>
      </c>
    </row>
    <row r="130" customFormat="false" ht="15" hidden="false" customHeight="false" outlineLevel="0" collapsed="false">
      <c r="A130" s="45" t="s">
        <v>134</v>
      </c>
      <c r="B130" s="45" t="s">
        <v>338</v>
      </c>
      <c r="C130" s="47" t="n">
        <v>44.1</v>
      </c>
      <c r="D130" s="45" t="s">
        <v>334</v>
      </c>
      <c r="E130" s="45" t="s">
        <v>320</v>
      </c>
      <c r="F130" s="46" t="n">
        <v>2176.64</v>
      </c>
      <c r="G130" s="46" t="n">
        <v>260.65</v>
      </c>
      <c r="H130" s="46" t="n">
        <v>30.28</v>
      </c>
      <c r="I130" s="46" t="n">
        <v>0</v>
      </c>
      <c r="J130" s="46" t="n">
        <v>1.3</v>
      </c>
      <c r="K130" s="46" t="n">
        <v>0</v>
      </c>
      <c r="L130" s="46" t="n">
        <v>593.07</v>
      </c>
      <c r="M130" s="46" t="n">
        <v>407.13</v>
      </c>
      <c r="N130" s="46" t="n">
        <v>1014.68</v>
      </c>
      <c r="O130" s="46" t="n">
        <v>30.96</v>
      </c>
      <c r="P130" s="46" t="n">
        <v>130.14</v>
      </c>
      <c r="Q130" s="46" t="n">
        <v>406.15</v>
      </c>
      <c r="R130" s="46" t="n">
        <v>283.92</v>
      </c>
      <c r="S130" s="46" t="n">
        <v>0</v>
      </c>
      <c r="T130" s="46" t="n">
        <v>10.95</v>
      </c>
      <c r="U130" s="56" t="n">
        <v>5.41</v>
      </c>
      <c r="V130" s="46" t="n">
        <v>26.72</v>
      </c>
      <c r="W130" s="46" t="n">
        <v>43.08</v>
      </c>
      <c r="X130" s="46" t="n">
        <v>5378.01</v>
      </c>
      <c r="Y130" s="46" t="n">
        <v>5378.01</v>
      </c>
      <c r="Z130" s="56" t="n">
        <v>0</v>
      </c>
    </row>
    <row r="131" customFormat="false" ht="15" hidden="false" customHeight="false" outlineLevel="0" collapsed="false">
      <c r="A131" s="37" t="s">
        <v>138</v>
      </c>
      <c r="B131" s="37" t="s">
        <v>338</v>
      </c>
      <c r="C131" s="39" t="n">
        <v>28</v>
      </c>
      <c r="D131" s="37" t="s">
        <v>334</v>
      </c>
      <c r="E131" s="37" t="s">
        <v>320</v>
      </c>
      <c r="F131" s="38" t="n">
        <v>2147.7</v>
      </c>
      <c r="G131" s="38" t="n">
        <v>256.72</v>
      </c>
      <c r="H131" s="38" t="n">
        <v>29.99</v>
      </c>
      <c r="I131" s="38" t="n">
        <v>0</v>
      </c>
      <c r="J131" s="38" t="n">
        <v>1.29</v>
      </c>
      <c r="K131" s="38" t="n">
        <v>0</v>
      </c>
      <c r="L131" s="38" t="n">
        <v>599.9</v>
      </c>
      <c r="M131" s="38" t="n">
        <v>411.38</v>
      </c>
      <c r="N131" s="38" t="n">
        <v>1157.77</v>
      </c>
      <c r="O131" s="38" t="n">
        <v>34.87</v>
      </c>
      <c r="P131" s="38" t="n">
        <v>141.57</v>
      </c>
      <c r="Q131" s="38" t="n">
        <v>457.42</v>
      </c>
      <c r="R131" s="38" t="n">
        <v>354.88</v>
      </c>
      <c r="S131" s="38" t="n">
        <v>0</v>
      </c>
      <c r="T131" s="38" t="n">
        <v>15.39</v>
      </c>
      <c r="U131" s="55" t="n">
        <v>5.41</v>
      </c>
      <c r="V131" s="38" t="n">
        <v>26.72</v>
      </c>
      <c r="W131" s="38" t="n">
        <v>47.52</v>
      </c>
      <c r="X131" s="38" t="n">
        <v>5641.03</v>
      </c>
      <c r="Y131" s="38" t="n">
        <v>5641.03</v>
      </c>
      <c r="Z131" s="55" t="n">
        <v>0</v>
      </c>
    </row>
    <row r="132" customFormat="false" ht="15" hidden="false" customHeight="false" outlineLevel="0" collapsed="false">
      <c r="A132" s="45" t="s">
        <v>142</v>
      </c>
      <c r="B132" s="45" t="s">
        <v>338</v>
      </c>
      <c r="C132" s="47" t="n">
        <v>7</v>
      </c>
      <c r="D132" s="45" t="s">
        <v>334</v>
      </c>
      <c r="E132" s="45" t="s">
        <v>320</v>
      </c>
      <c r="F132" s="46" t="n">
        <v>1683.64</v>
      </c>
      <c r="G132" s="46" t="n">
        <v>568.33</v>
      </c>
      <c r="H132" s="46" t="n">
        <v>28.28</v>
      </c>
      <c r="I132" s="46" t="n">
        <v>0</v>
      </c>
      <c r="J132" s="46" t="n">
        <v>1.08</v>
      </c>
      <c r="K132" s="46" t="n">
        <v>0</v>
      </c>
      <c r="L132" s="46" t="n">
        <v>569.53</v>
      </c>
      <c r="M132" s="46" t="n">
        <v>388.34</v>
      </c>
      <c r="N132" s="46" t="n">
        <v>1092.92</v>
      </c>
      <c r="O132" s="46" t="n">
        <v>32.92</v>
      </c>
      <c r="P132" s="46" t="n">
        <v>133.64</v>
      </c>
      <c r="Q132" s="46" t="n">
        <v>431.8</v>
      </c>
      <c r="R132" s="46" t="n">
        <v>1419.53</v>
      </c>
      <c r="S132" s="46" t="n">
        <v>0</v>
      </c>
      <c r="T132" s="46" t="n">
        <v>12.23</v>
      </c>
      <c r="U132" s="56" t="n">
        <v>5.41</v>
      </c>
      <c r="V132" s="46" t="n">
        <v>26.72</v>
      </c>
      <c r="W132" s="46" t="n">
        <v>44.36</v>
      </c>
      <c r="X132" s="46" t="n">
        <v>6394.37</v>
      </c>
      <c r="Y132" s="46" t="n">
        <v>6394.37</v>
      </c>
      <c r="Z132" s="56" t="n">
        <v>0</v>
      </c>
    </row>
  </sheetData>
  <autoFilter ref="A4:Z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339</v>
      </c>
    </row>
    <row r="3" customFormat="false" ht="25.5" hidden="false" customHeight="true" outlineLevel="0" collapsed="false">
      <c r="A3" s="57" t="s">
        <v>340</v>
      </c>
      <c r="B3" s="58" t="s">
        <v>341</v>
      </c>
    </row>
    <row r="4" customFormat="false" ht="39" hidden="false" customHeight="true" outlineLevel="0" collapsed="false">
      <c r="A4" s="57" t="s">
        <v>8</v>
      </c>
      <c r="B4" s="58" t="s">
        <v>342</v>
      </c>
    </row>
    <row r="5" customFormat="false" ht="39" hidden="false" customHeight="true" outlineLevel="0" collapsed="false">
      <c r="A5" s="57" t="s">
        <v>343</v>
      </c>
      <c r="B5" s="58" t="s">
        <v>344</v>
      </c>
    </row>
    <row r="6" customFormat="false" ht="25.5" hidden="false" customHeight="true" outlineLevel="0" collapsed="false">
      <c r="A6" s="57" t="s">
        <v>345</v>
      </c>
      <c r="B6" s="58" t="s">
        <v>346</v>
      </c>
    </row>
    <row r="7" customFormat="false" ht="39" hidden="false" customHeight="true" outlineLevel="0" collapsed="false">
      <c r="A7" s="57" t="s">
        <v>11</v>
      </c>
      <c r="B7" s="58" t="s">
        <v>347</v>
      </c>
    </row>
    <row r="8" customFormat="false" ht="25.5" hidden="false" customHeight="true" outlineLevel="0" collapsed="false">
      <c r="A8" s="57" t="s">
        <v>12</v>
      </c>
      <c r="B8" s="58" t="s">
        <v>348</v>
      </c>
    </row>
    <row r="9" customFormat="false" ht="39" hidden="false" customHeight="true" outlineLevel="0" collapsed="false">
      <c r="A9" s="57" t="s">
        <v>349</v>
      </c>
      <c r="B9" s="58" t="s">
        <v>350</v>
      </c>
    </row>
    <row r="10" customFormat="false" ht="39" hidden="false" customHeight="true" outlineLevel="0" collapsed="false">
      <c r="A10" s="57" t="s">
        <v>351</v>
      </c>
      <c r="B10" s="58" t="s">
        <v>352</v>
      </c>
    </row>
    <row r="11" customFormat="false" ht="25.5" hidden="false" customHeight="true" outlineLevel="0" collapsed="false">
      <c r="A11" s="57" t="s">
        <v>15</v>
      </c>
      <c r="B11" s="58" t="s">
        <v>353</v>
      </c>
    </row>
    <row r="12" customFormat="false" ht="25.5" hidden="false" customHeight="true" outlineLevel="0" collapsed="false">
      <c r="A12" s="57" t="s">
        <v>18</v>
      </c>
      <c r="B12" s="58" t="s">
        <v>354</v>
      </c>
    </row>
    <row r="13" customFormat="false" ht="25.5" hidden="false" customHeight="true" outlineLevel="0" collapsed="false">
      <c r="A13" s="57" t="s">
        <v>355</v>
      </c>
      <c r="B13" s="58" t="s">
        <v>356</v>
      </c>
    </row>
    <row r="14" customFormat="false" ht="25.5" hidden="false" customHeight="true" outlineLevel="0" collapsed="false">
      <c r="A14" s="57" t="s">
        <v>23</v>
      </c>
      <c r="B14" s="58" t="s">
        <v>357</v>
      </c>
    </row>
    <row r="15" customFormat="false" ht="25.5" hidden="false" customHeight="true" outlineLevel="0" collapsed="false">
      <c r="A15" s="57" t="s">
        <v>24</v>
      </c>
      <c r="B15" s="58" t="s">
        <v>358</v>
      </c>
    </row>
    <row r="16" customFormat="false" ht="25.5" hidden="false" customHeight="true" outlineLevel="0" collapsed="false">
      <c r="A16" s="57" t="s">
        <v>25</v>
      </c>
      <c r="B16" s="58" t="s">
        <v>359</v>
      </c>
    </row>
    <row r="17" customFormat="false" ht="129.75" hidden="false" customHeight="true" outlineLevel="0" collapsed="false">
      <c r="A17" s="57" t="s">
        <v>360</v>
      </c>
      <c r="B17" s="58" t="s">
        <v>361</v>
      </c>
    </row>
    <row r="18" customFormat="false" ht="90.75" hidden="false" customHeight="true" outlineLevel="0" collapsed="false">
      <c r="A18" s="57" t="s">
        <v>362</v>
      </c>
      <c r="B18" s="58" t="s">
        <v>363</v>
      </c>
    </row>
    <row r="19" customFormat="false" ht="103.5" hidden="false" customHeight="true" outlineLevel="0" collapsed="false">
      <c r="A19" s="57" t="s">
        <v>364</v>
      </c>
      <c r="B19" s="58" t="s">
        <v>365</v>
      </c>
    </row>
    <row r="21" customFormat="false" ht="15" hidden="false" customHeight="false" outlineLevel="0" collapsed="false">
      <c r="A21" s="36" t="s">
        <v>366</v>
      </c>
    </row>
    <row r="22" customFormat="false" ht="39" hidden="false" customHeight="true" outlineLevel="0" collapsed="false">
      <c r="B22" s="58" t="s">
        <v>367</v>
      </c>
    </row>
    <row r="23" customFormat="false" ht="25.5" hidden="false" customHeight="true" outlineLevel="0" collapsed="false">
      <c r="B23" s="58" t="s">
        <v>368</v>
      </c>
    </row>
    <row r="24" customFormat="false" ht="39" hidden="false" customHeight="true" outlineLevel="0" collapsed="false">
      <c r="B24" s="58" t="s">
        <v>369</v>
      </c>
    </row>
    <row r="25" customFormat="false" ht="25.5" hidden="false" customHeight="true" outlineLevel="0" collapsed="false">
      <c r="B25" s="58" t="s">
        <v>370</v>
      </c>
    </row>
    <row r="26" customFormat="false" ht="25.5" hidden="false" customHeight="true" outlineLevel="0" collapsed="false">
      <c r="B26" s="58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2026-08-18T17:12:31Z</dcterms:created>
  <dc:creator>openpyxl</dc:creator>
  <dc:description/>
  <dc:language>en-US</dc:language>
  <cp:lastModifiedBy/>
  <dcterms:modified xsi:type="dcterms:W3CDTF">2026-08-18T17:12:31Z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